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dministrador\Desktop\"/>
    </mc:Choice>
  </mc:AlternateContent>
  <xr:revisionPtr revIDLastSave="0" documentId="13_ncr:1_{621B2CB2-BF48-4E92-B8B7-61712EEDBF7A}" xr6:coauthVersionLast="47" xr6:coauthVersionMax="47" xr10:uidLastSave="{00000000-0000-0000-0000-000000000000}"/>
  <bookViews>
    <workbookView xWindow="-120" yWindow="-120" windowWidth="29040" windowHeight="15840" activeTab="3" xr2:uid="{5634D9E0-C6F3-4C26-A81C-A723549E2C06}"/>
  </bookViews>
  <sheets>
    <sheet name="planilha teste carros" sheetId="1" r:id="rId1"/>
    <sheet name="Receita" sheetId="2" r:id="rId2"/>
    <sheet name="Despesa" sheetId="3" r:id="rId3"/>
    <sheet name="Lucro" sheetId="7" r:id="rId4"/>
    <sheet name="Investimentos" sheetId="6" r:id="rId5"/>
    <sheet name="Multas" sheetId="4" r:id="rId6"/>
    <sheet name="Quem Pagou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5" i="3" l="1"/>
  <c r="H55" i="3"/>
  <c r="G54" i="3"/>
  <c r="H54" i="3"/>
  <c r="G53" i="3"/>
  <c r="H53" i="3"/>
  <c r="G52" i="3"/>
  <c r="H52" i="3"/>
  <c r="G51" i="3"/>
  <c r="H51" i="3"/>
  <c r="G50" i="3"/>
  <c r="H50" i="3"/>
  <c r="G49" i="3"/>
  <c r="H49" i="3"/>
  <c r="G48" i="3"/>
  <c r="H48" i="3"/>
  <c r="D4" i="7"/>
  <c r="C4" i="7"/>
  <c r="E12" i="6"/>
  <c r="F12" i="6"/>
  <c r="E11" i="6"/>
  <c r="F11" i="6"/>
  <c r="E10" i="6"/>
  <c r="F10" i="6"/>
  <c r="G47" i="3"/>
  <c r="H47" i="3"/>
  <c r="G46" i="3"/>
  <c r="H46" i="3"/>
  <c r="G45" i="3"/>
  <c r="H45" i="3"/>
  <c r="G44" i="3"/>
  <c r="H44" i="3"/>
  <c r="G43" i="3"/>
  <c r="H43" i="3"/>
  <c r="G42" i="3"/>
  <c r="H42" i="3"/>
  <c r="G41" i="3"/>
  <c r="H41" i="3"/>
  <c r="G40" i="3"/>
  <c r="H40" i="3"/>
  <c r="G39" i="3"/>
  <c r="H39" i="3"/>
  <c r="D3" i="7"/>
  <c r="D2" i="7"/>
  <c r="C3" i="7"/>
  <c r="C2" i="7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2" i="6"/>
  <c r="H38" i="3"/>
  <c r="G38" i="3"/>
  <c r="H37" i="3"/>
  <c r="G37" i="3"/>
  <c r="H36" i="3"/>
  <c r="G36" i="3"/>
  <c r="H35" i="3"/>
  <c r="G35" i="3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H22" i="3"/>
  <c r="G22" i="3"/>
  <c r="H21" i="3"/>
  <c r="G21" i="3"/>
  <c r="H20" i="3"/>
  <c r="G20" i="3"/>
  <c r="H19" i="3"/>
  <c r="G19" i="3"/>
  <c r="H18" i="3"/>
  <c r="G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H3" i="3"/>
  <c r="G3" i="3"/>
  <c r="H2" i="3"/>
  <c r="G2" i="3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F47" i="2"/>
  <c r="E47" i="2"/>
  <c r="F46" i="2"/>
  <c r="E46" i="2"/>
  <c r="F45" i="2"/>
  <c r="E45" i="2"/>
  <c r="F44" i="2"/>
  <c r="E44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  <c r="F14" i="2"/>
  <c r="E14" i="2"/>
  <c r="F13" i="2"/>
  <c r="E13" i="2"/>
  <c r="F12" i="2"/>
  <c r="E12" i="2"/>
  <c r="D11" i="5"/>
  <c r="D6" i="5"/>
</calcChain>
</file>

<file path=xl/sharedStrings.xml><?xml version="1.0" encoding="utf-8"?>
<sst xmlns="http://schemas.openxmlformats.org/spreadsheetml/2006/main" count="15282" uniqueCount="892">
  <si>
    <t>Situação de veículo</t>
  </si>
  <si>
    <t>Placa</t>
  </si>
  <si>
    <t>Modelo</t>
  </si>
  <si>
    <t>Proprietário</t>
  </si>
  <si>
    <t>Motorista</t>
  </si>
  <si>
    <t>Valor contrato</t>
  </si>
  <si>
    <t>Multa/atraso</t>
  </si>
  <si>
    <t>Desconto</t>
  </si>
  <si>
    <t>Valor à Cobrar</t>
  </si>
  <si>
    <t>Valor Pago (Semana)</t>
  </si>
  <si>
    <t>Locado</t>
  </si>
  <si>
    <t>CAI-0H43</t>
  </si>
  <si>
    <t>GOL 1.0 FLEX 12V 5P</t>
  </si>
  <si>
    <t>CLIKCAR/VICTOR</t>
  </si>
  <si>
    <t>CONRADO LUAN VON MENGDEN</t>
  </si>
  <si>
    <t>EAF-4D08</t>
  </si>
  <si>
    <t>KICKS S 1.6 16V FLEX 5P AUT.</t>
  </si>
  <si>
    <t>NEVEKEYLA CUNHA DA SILVA</t>
  </si>
  <si>
    <t>EKH-0C52</t>
  </si>
  <si>
    <t>TIAGO EMANUEL GROSS</t>
  </si>
  <si>
    <t>FCR-6G45</t>
  </si>
  <si>
    <t>VERSA 1.0 12V FLEXSTART 4P MEC.</t>
  </si>
  <si>
    <t>VICTOR</t>
  </si>
  <si>
    <t>ISEQUIEL DA SILVA SANTOS</t>
  </si>
  <si>
    <t>FIJ-5D01</t>
  </si>
  <si>
    <t>T-CROSS 1.0 TSI FLEX 12V 5P AUT.</t>
  </si>
  <si>
    <t>THIAGO MATEUS GALSKI</t>
  </si>
  <si>
    <t>FQG-3J63</t>
  </si>
  <si>
    <t>POLO TRACK 1.0 FLEX 12V 5P</t>
  </si>
  <si>
    <t>MARCIO CARVALHO NOGUEIRA</t>
  </si>
  <si>
    <t>FUW-2D33</t>
  </si>
  <si>
    <t>CARLOS EDUARDO AMARAL FLORES</t>
  </si>
  <si>
    <t>JBJ-1J01</t>
  </si>
  <si>
    <t>VOYAGE 1.0 FLEX 12V 4P</t>
  </si>
  <si>
    <t>JBJ-1J36</t>
  </si>
  <si>
    <t>WILLIAM NEGREIROS KRUEL</t>
  </si>
  <si>
    <t>RFH-6J80</t>
  </si>
  <si>
    <t>FIAT/MOBI LIKE</t>
  </si>
  <si>
    <t>RICARDO BORTOLOTI</t>
  </si>
  <si>
    <t>HENRIK SILVA JOSE DE FRAGA</t>
  </si>
  <si>
    <t>RNB-9H44</t>
  </si>
  <si>
    <t>GOL (NOVO) 1.0 MI TOTAL FLEX 8V 2P</t>
  </si>
  <si>
    <t>BALTAZAR</t>
  </si>
  <si>
    <t>NELSON ALVES DOS SANTOS</t>
  </si>
  <si>
    <t>RNB-9H46</t>
  </si>
  <si>
    <t>WILSON RODRIGO GARCIA TOLEDO</t>
  </si>
  <si>
    <t>RNB-9H52</t>
  </si>
  <si>
    <t>MATHEUS DA SILVA PAIVA</t>
  </si>
  <si>
    <t>Chapeação</t>
  </si>
  <si>
    <t>RND-4D26</t>
  </si>
  <si>
    <t>JOAO CARLOS CALDEIRA PACHECO</t>
  </si>
  <si>
    <t>RVJ-4E77</t>
  </si>
  <si>
    <t>C4 CACTUS FEEL 1.6 16V FLEX AUT.</t>
  </si>
  <si>
    <t>ANTONIO GUILHERME DORNELES CRUZ</t>
  </si>
  <si>
    <t>RVM-1D66</t>
  </si>
  <si>
    <t>MOBI LIKE 1.0 FIRE FLEX 5P.</t>
  </si>
  <si>
    <t>DARCI</t>
  </si>
  <si>
    <t>JEAN CARLO PUSSI ARNOUD</t>
  </si>
  <si>
    <t>RVN-5E08</t>
  </si>
  <si>
    <t>ALEX HAIDUCK JÚNIOR</t>
  </si>
  <si>
    <t>RVQ-3D67</t>
  </si>
  <si>
    <t>RAQUEL FELHAUER</t>
  </si>
  <si>
    <t>SDZ-1D45</t>
  </si>
  <si>
    <t>MAIKON RODRIGUES BERNARDES</t>
  </si>
  <si>
    <t>TQW-8G87</t>
  </si>
  <si>
    <t>VIRTUS TSI 1.0 FLEX 12V 4P AUT</t>
  </si>
  <si>
    <t>ANDERSON</t>
  </si>
  <si>
    <t>FELIPE MEINKE BAPTISTA</t>
  </si>
  <si>
    <t>TQZ-4G03</t>
  </si>
  <si>
    <t>KWID ZEN 1.0 FLEX 12V 5P MEC.</t>
  </si>
  <si>
    <t>ADILSON</t>
  </si>
  <si>
    <t>MARCUS VINICIUS DA FONSECA NUNES</t>
  </si>
  <si>
    <t>TQZ-5D47</t>
  </si>
  <si>
    <t>Hyptec Ht Elite</t>
  </si>
  <si>
    <t>JONAS SOUZA GOULART</t>
  </si>
  <si>
    <t>TQZ-5F87</t>
  </si>
  <si>
    <t>KICKS PLAY SENSE 1.6 16V FLEX AUT.</t>
  </si>
  <si>
    <t>BRUNO/MOISES</t>
  </si>
  <si>
    <t>MAIRO DE MELO TRINDADE</t>
  </si>
  <si>
    <t>TQZ-8G98</t>
  </si>
  <si>
    <t>SANDRO SILVA DE SOUZA</t>
  </si>
  <si>
    <t>ELA-3H13</t>
  </si>
  <si>
    <t>IGOR RENATO SILVEIRA DOS SANTOS</t>
  </si>
  <si>
    <t>EOA-4E13</t>
  </si>
  <si>
    <t>HARRISON EUCLYDES PADILHA DOS SANTOS</t>
  </si>
  <si>
    <t>FPW-1H94</t>
  </si>
  <si>
    <t>RODRIGO TEIXEIRA CAMARGO</t>
  </si>
  <si>
    <t>GIS-9F24</t>
  </si>
  <si>
    <t>NILMAR MONTEIRO RODRIGUES</t>
  </si>
  <si>
    <t>Oficina</t>
  </si>
  <si>
    <t>IWM-7H15</t>
  </si>
  <si>
    <t>ETIOS CROSS 1.5 FLEX 16V 5P MEC.</t>
  </si>
  <si>
    <t>PAULO RICARDO DE FREITAS</t>
  </si>
  <si>
    <t>IXM-6F78</t>
  </si>
  <si>
    <t>MARCH 1.0 12V FLEX 5P</t>
  </si>
  <si>
    <t>FABIO THOMAS</t>
  </si>
  <si>
    <t>JOAO ELTON ALVES FERRAZ</t>
  </si>
  <si>
    <t>JBJ-2A46</t>
  </si>
  <si>
    <t>DIOGO SPERB PEREIRA</t>
  </si>
  <si>
    <t>Em Preparação</t>
  </si>
  <si>
    <t>QXV-7J25</t>
  </si>
  <si>
    <t>KICKS S DIRECT 1.6 16V FLEX 5P AUT.</t>
  </si>
  <si>
    <t>RFP-5A58</t>
  </si>
  <si>
    <t>VERSA V-DRIVE 1.6 16V FLEX MEC.</t>
  </si>
  <si>
    <t>DANIEL BARBEDO</t>
  </si>
  <si>
    <t>GUILHERME DE OLIVEIRA SANTOS</t>
  </si>
  <si>
    <t>RFU-4H07</t>
  </si>
  <si>
    <t>LUCAS CRISTIANO SANTOS DA SILVA</t>
  </si>
  <si>
    <t>RMP-6C52</t>
  </si>
  <si>
    <t>CEDENIR ALVES GONCALVES</t>
  </si>
  <si>
    <t>RMR-6B12</t>
  </si>
  <si>
    <t>LEONARDO</t>
  </si>
  <si>
    <t>MARCOS ANTONIO DE MELLO NUMER</t>
  </si>
  <si>
    <t>RNB-9H42</t>
  </si>
  <si>
    <t>JEFERSON GLEDSON DOS SANTOS</t>
  </si>
  <si>
    <t>RND-7J12</t>
  </si>
  <si>
    <t>UNO ATTRACTIVE 1.0 FLEX 6V 5P</t>
  </si>
  <si>
    <t>KEVIN ORLANDO CASANOVA DOS SANTOS</t>
  </si>
  <si>
    <t>RTY-8C37</t>
  </si>
  <si>
    <t>HB20S EVOLUTION 1.0 FLEX 12V MEC.</t>
  </si>
  <si>
    <t>JEFERSON REZENDE DOS SANTOS</t>
  </si>
  <si>
    <t>RUW-3G11</t>
  </si>
  <si>
    <t>RENAN ROSSI</t>
  </si>
  <si>
    <t>RODRIGO PIZARRO DOS SANTOS</t>
  </si>
  <si>
    <t>RUX-0D47</t>
  </si>
  <si>
    <t>MAICON DE ASSIS DA SILVA</t>
  </si>
  <si>
    <t>SHN-7C61</t>
  </si>
  <si>
    <t>RODRIGO BERNARDES NETTO</t>
  </si>
  <si>
    <t>SSR-3B60</t>
  </si>
  <si>
    <t>MAICON CONSTANTE LAMB</t>
  </si>
  <si>
    <t>SSV-6F05</t>
  </si>
  <si>
    <t>PABLO JUAN LUCAS DE SOUZA</t>
  </si>
  <si>
    <t>TQZ-5G36</t>
  </si>
  <si>
    <t>MATIAS ADOLFO TISCHLER</t>
  </si>
  <si>
    <t>BEP-7A86</t>
  </si>
  <si>
    <t>MOISÉS TURQUIELLO CAVALHEIRO</t>
  </si>
  <si>
    <t>Recolhido</t>
  </si>
  <si>
    <t>EMA-1D84</t>
  </si>
  <si>
    <t>ENN-1B94</t>
  </si>
  <si>
    <t>CRISTIANO FELIX DOS SANTOS</t>
  </si>
  <si>
    <t>GIJ-6H01</t>
  </si>
  <si>
    <t>FERNANDO DUTRA GARCIA</t>
  </si>
  <si>
    <t>IYX-8H15</t>
  </si>
  <si>
    <t>JULIA OLIVEIRA DE SOUZA</t>
  </si>
  <si>
    <t>JAY-1C69</t>
  </si>
  <si>
    <t>KICKS ADVANCE 1.6 16V FLEX AUT.</t>
  </si>
  <si>
    <t>ANDERSON LIPERTE LEAL DOS SANTOS</t>
  </si>
  <si>
    <t>JBJ-1C77</t>
  </si>
  <si>
    <t>DIEGO FERREIRA DA SILVA</t>
  </si>
  <si>
    <t>JBJ-1D42</t>
  </si>
  <si>
    <t>CLAUDIO TOBIA</t>
  </si>
  <si>
    <t>JBK-0E94</t>
  </si>
  <si>
    <t>RODRIGO DA SILVA FERREIRA</t>
  </si>
  <si>
    <t>JBK-2H40</t>
  </si>
  <si>
    <t>DIELLE NUNES</t>
  </si>
  <si>
    <t>JBL-5E17</t>
  </si>
  <si>
    <t>JOHY NUNES DOS SANTOS</t>
  </si>
  <si>
    <t>RFA-7G21</t>
  </si>
  <si>
    <t>UNO ATTRACTIVE 1.0 FIRE FLEX 8V 5P</t>
  </si>
  <si>
    <t>ADRIANO TRASSANTE DOS SANTOS</t>
  </si>
  <si>
    <t>RMD-9B23</t>
  </si>
  <si>
    <t>LUIS GABRIEL MARTIN MARTINS</t>
  </si>
  <si>
    <t>RNB-0H34</t>
  </si>
  <si>
    <t>KELVIN LEAL DOS SANTOS</t>
  </si>
  <si>
    <t>RND-2D12</t>
  </si>
  <si>
    <t>MARCO ANTONIO ARAUJO DA SILVA JUNIOR</t>
  </si>
  <si>
    <t>RND-8I42</t>
  </si>
  <si>
    <t>EZEQUIEL DA SILVA</t>
  </si>
  <si>
    <t>RTL-3I12</t>
  </si>
  <si>
    <t>PAULO AIRTON</t>
  </si>
  <si>
    <t>DENISE MACHADO BATISTA</t>
  </si>
  <si>
    <t>RUD-6B01</t>
  </si>
  <si>
    <t>MATHEUS PEREIRA DA SILVA</t>
  </si>
  <si>
    <t>RVO-4E03</t>
  </si>
  <si>
    <t>GILRIAN DE OLIVEIRA FLORES</t>
  </si>
  <si>
    <t>RUT-0D68</t>
  </si>
  <si>
    <t>SANDRO ELISEU CHAGAS</t>
  </si>
  <si>
    <t>RVV-8E70</t>
  </si>
  <si>
    <t>ARGO DRIVE 1.0 6V FLEX</t>
  </si>
  <si>
    <t>LEONARDO MARTINS LEMOS</t>
  </si>
  <si>
    <t>SHT-4C02</t>
  </si>
  <si>
    <t>WESLEY SARAIVA DA SILVA</t>
  </si>
  <si>
    <t>SHX-9H53</t>
  </si>
  <si>
    <t>JOHN LENON</t>
  </si>
  <si>
    <t>ITAGIBA VITORIO DA SILVA DIAS</t>
  </si>
  <si>
    <t>CDR-3D93</t>
  </si>
  <si>
    <t>LUIS CARLOS SOUZA DOS SANTOS</t>
  </si>
  <si>
    <t>ELO-9A44</t>
  </si>
  <si>
    <t>NATALLI BATALHA DA SILVA</t>
  </si>
  <si>
    <t>EXM-7E12</t>
  </si>
  <si>
    <t>DIRNEI JOSE DOS SANTOS ALVES</t>
  </si>
  <si>
    <t>FSE-8F72</t>
  </si>
  <si>
    <t>NATHALIA RODRIGUES BRUM</t>
  </si>
  <si>
    <t>GFC-4C11</t>
  </si>
  <si>
    <t>GUSTAVO GABRIEL SOARES DA COSTA</t>
  </si>
  <si>
    <t>IVL-7D20</t>
  </si>
  <si>
    <t>PRISMA SED. LT 1.0 8V FLEXPOWER 4P</t>
  </si>
  <si>
    <t>DEIVID ALEXANDRE PONCIO MACIEL</t>
  </si>
  <si>
    <t>IYF-9C92</t>
  </si>
  <si>
    <t>ETIOS 1.3 FLEX 16V 5P MEC.</t>
  </si>
  <si>
    <t>CAMILA CHAGAS VIEGAS</t>
  </si>
  <si>
    <t>JAS-3C99</t>
  </si>
  <si>
    <t>CRONOS DRIVE 1.3 8V FLEX</t>
  </si>
  <si>
    <t>THIAGO BORGES DOS REIS</t>
  </si>
  <si>
    <t>JBA-9I85</t>
  </si>
  <si>
    <t>JBJ-1C17</t>
  </si>
  <si>
    <t>LISANDRO SILVANO PRESTES</t>
  </si>
  <si>
    <t>JBJ-1C39</t>
  </si>
  <si>
    <t>TIAGO BUENO FEIJO</t>
  </si>
  <si>
    <t>JBJ-1C33</t>
  </si>
  <si>
    <t>JBJ-1D27</t>
  </si>
  <si>
    <t>MOBI DRIVE 1.0 FLEX 6V 5P</t>
  </si>
  <si>
    <t>WAGNER VICENTE MACHADO</t>
  </si>
  <si>
    <t>JBJ-1J30</t>
  </si>
  <si>
    <t>VOYAGE TRENDLINE 1.0 T.FLEX 12V 4P</t>
  </si>
  <si>
    <t>FABIO RENATO DE SOUZA MAIA</t>
  </si>
  <si>
    <t>JBK-6G67</t>
  </si>
  <si>
    <t>GOL (NOVO) 1.0 MI TOTAL FLEX 8V 4P</t>
  </si>
  <si>
    <t>GABRIEL DA SILVA ALMADA</t>
  </si>
  <si>
    <t>JBL-8B73</t>
  </si>
  <si>
    <t>JOSE ALTEMIR DOS SANTOS MARQUES</t>
  </si>
  <si>
    <t>QJY-1I06</t>
  </si>
  <si>
    <t>JUNIOR CESAR MARTINS</t>
  </si>
  <si>
    <t>QNQ-2E36</t>
  </si>
  <si>
    <t>IGOR SCHIRMANN SORTICA</t>
  </si>
  <si>
    <t>QQS-2H33</t>
  </si>
  <si>
    <t>OZIEL MACHADO DE MELLO</t>
  </si>
  <si>
    <t>RFQ-3F20</t>
  </si>
  <si>
    <t>VLADIMIR DA SILVA</t>
  </si>
  <si>
    <t>RMD-9B03</t>
  </si>
  <si>
    <t>UNO ATTRACTI. CELEB.1.4 EVO F.FLEX 8V 4P</t>
  </si>
  <si>
    <t>CLARISE MUSKOPF</t>
  </si>
  <si>
    <t>RMD-9C04</t>
  </si>
  <si>
    <t>SILVIO LUIS DE SOUZA KRUEL</t>
  </si>
  <si>
    <t>Disponível Locação</t>
  </si>
  <si>
    <t>RML-5B92</t>
  </si>
  <si>
    <t>RMO-2B70</t>
  </si>
  <si>
    <t>ROBSON LOPES PINTO</t>
  </si>
  <si>
    <t>RMX-2I65</t>
  </si>
  <si>
    <t>JONAS RICARDO VARGAS SOARES</t>
  </si>
  <si>
    <t>RMY-3G61</t>
  </si>
  <si>
    <t>JHONATHAN LUIS MACHADO BOAVENTURA</t>
  </si>
  <si>
    <t>RNB-9H45</t>
  </si>
  <si>
    <t>MAURO LUIS KRAMER</t>
  </si>
  <si>
    <t>RNB-9H53</t>
  </si>
  <si>
    <t>GOL (NOVO) 1.6 MI TOTAL FLEX 8V 2P</t>
  </si>
  <si>
    <t>HIAGO DA SILVA FRAGA</t>
  </si>
  <si>
    <t>RND-2C03</t>
  </si>
  <si>
    <t>RND-2D04</t>
  </si>
  <si>
    <t>WAGNER COUTO LEMOS OLIVEIRA</t>
  </si>
  <si>
    <t>RND-2D06</t>
  </si>
  <si>
    <t>BRUNO CAMARGO LOMANDO</t>
  </si>
  <si>
    <t>RNF-1E17</t>
  </si>
  <si>
    <t>TIAGO SILVA GONCALVES</t>
  </si>
  <si>
    <t>RNG-0G24</t>
  </si>
  <si>
    <t>CRONOS 1.3 8V FLEX</t>
  </si>
  <si>
    <t>DANIEL DUARTE MAZURANA</t>
  </si>
  <si>
    <t>RNR-7J69</t>
  </si>
  <si>
    <t>YURI TAFFAREL DE AGUIR FRIES</t>
  </si>
  <si>
    <t>ROY-0H72</t>
  </si>
  <si>
    <t>ONIX HATCH 1.0 12V FLEX 5P MEC.</t>
  </si>
  <si>
    <t>RODRIGO FELISBINO</t>
  </si>
  <si>
    <t>JEFERSON BARBOSA DA SILVA</t>
  </si>
  <si>
    <t>RTM-0F31</t>
  </si>
  <si>
    <t>GRAND SIENA 1.4 EVO FLEX 8V 4P</t>
  </si>
  <si>
    <t>LEONARDO BLUM OLIVEIRA</t>
  </si>
  <si>
    <t>RTV-0I77</t>
  </si>
  <si>
    <t>MARCELO VIEGAS OLIVEIRA</t>
  </si>
  <si>
    <t>RUX-0A78</t>
  </si>
  <si>
    <t>WILLIAN VALIM PEREIRA</t>
  </si>
  <si>
    <t>RUY-4A38</t>
  </si>
  <si>
    <t>KAMILA MACHADO DA ROSA</t>
  </si>
  <si>
    <t>RVB-0C59</t>
  </si>
  <si>
    <t>KATICIANE DE PAULA RODRIGUES</t>
  </si>
  <si>
    <t>RVX-0C18</t>
  </si>
  <si>
    <t>LEANDRO GERLACH</t>
  </si>
  <si>
    <t>SHB-0G78</t>
  </si>
  <si>
    <t>HB20 COMFORT 1.0 FLEX 12V MEC</t>
  </si>
  <si>
    <t>JOAO RICARDO JANSEN DE SOUZA</t>
  </si>
  <si>
    <t>SHM-0F92</t>
  </si>
  <si>
    <t>SONIA MARGARETE BUENO</t>
  </si>
  <si>
    <t>SIN-0F25</t>
  </si>
  <si>
    <t>ROGERIO BUENO DE LEMOS</t>
  </si>
  <si>
    <t>TQZ-5G17</t>
  </si>
  <si>
    <t>PAULO AGENOR MAINIERI DA COSTA</t>
  </si>
  <si>
    <t>TQZ-8G61</t>
  </si>
  <si>
    <t>WELLINGTON MATHEUS DOS SANTOS</t>
  </si>
  <si>
    <t>RUW-3F26</t>
  </si>
  <si>
    <t>RFR-6D01</t>
  </si>
  <si>
    <t>IXY-5F85</t>
  </si>
  <si>
    <t>DIEGO DA SILVA ALVES</t>
  </si>
  <si>
    <t>JBK-6F71</t>
  </si>
  <si>
    <t>RODRIGO COSTA TAVARES</t>
  </si>
  <si>
    <t>IXA-2I49</t>
  </si>
  <si>
    <t>MARCH SL 1.6 16V FLEX FUEL 5P</t>
  </si>
  <si>
    <t>RHY-1H41</t>
  </si>
  <si>
    <t>RME-1C03</t>
  </si>
  <si>
    <t>GAP-6E49</t>
  </si>
  <si>
    <t>LOGAN EXPRESSION FLEX 1.0 12V 4P</t>
  </si>
  <si>
    <t>MILENA PRADO</t>
  </si>
  <si>
    <t>PWE-9D13</t>
  </si>
  <si>
    <t>UNO VIVACE 1.0 EVO FIRE FLEX 8V 3P</t>
  </si>
  <si>
    <t>RUY-9I48</t>
  </si>
  <si>
    <t>JBJ-1D63</t>
  </si>
  <si>
    <t>JONAS HENRIQUE MATOS DE SOUZA</t>
  </si>
  <si>
    <t>QXU-7J37</t>
  </si>
  <si>
    <t>LEO MARIO KASPARY</t>
  </si>
  <si>
    <t>RFS-5G79</t>
  </si>
  <si>
    <t>ETS-9H82</t>
  </si>
  <si>
    <t>GUILHERME GOMES PADILHA FREITAS</t>
  </si>
  <si>
    <t>SSV-2G97</t>
  </si>
  <si>
    <t>WENDELL GRANDINI FIUZA</t>
  </si>
  <si>
    <t>RNN-2G89</t>
  </si>
  <si>
    <t>RUL-4I25</t>
  </si>
  <si>
    <t>EDSON CORIM</t>
  </si>
  <si>
    <t>QXU-7J33</t>
  </si>
  <si>
    <t>THAYNARA RODRIGUES FRAGA</t>
  </si>
  <si>
    <t>IZQ-7C65</t>
  </si>
  <si>
    <t>RFK-3F83</t>
  </si>
  <si>
    <t>RMO-1J40</t>
  </si>
  <si>
    <t>RMQ-2B15</t>
  </si>
  <si>
    <t>RNB-0I07</t>
  </si>
  <si>
    <t>RNB-8D76</t>
  </si>
  <si>
    <t>RNC-0B99</t>
  </si>
  <si>
    <t>RNC-0C74</t>
  </si>
  <si>
    <t>RTB-3I18</t>
  </si>
  <si>
    <t>RVU-4F89</t>
  </si>
  <si>
    <t>RMD-9A64</t>
  </si>
  <si>
    <t>RFO-9A34</t>
  </si>
  <si>
    <t>RNP-9E49</t>
  </si>
  <si>
    <t>VITOR MOTA DE LIMA</t>
  </si>
  <si>
    <t>RND-2D11</t>
  </si>
  <si>
    <t>SHM-2I67</t>
  </si>
  <si>
    <t>RMT-6F68</t>
  </si>
  <si>
    <t>SYF-6A42</t>
  </si>
  <si>
    <t>RNG-8D81</t>
  </si>
  <si>
    <t>Sinistro</t>
  </si>
  <si>
    <t>EOO-2G16</t>
  </si>
  <si>
    <t>SHU-6A34</t>
  </si>
  <si>
    <t>RMV-2E90</t>
  </si>
  <si>
    <t>RENAN BILL</t>
  </si>
  <si>
    <t>JAE-9J24</t>
  </si>
  <si>
    <t>JBT-4B12</t>
  </si>
  <si>
    <t>MOISES RICARDO DOMINGOS DOS SANTOS</t>
  </si>
  <si>
    <t>RMN-7J43</t>
  </si>
  <si>
    <t>FWW-7F91</t>
  </si>
  <si>
    <t>KONI</t>
  </si>
  <si>
    <t>PYF-4A86</t>
  </si>
  <si>
    <t>SANDERO EXPRESSION FLEX 1.0 12V 5P</t>
  </si>
  <si>
    <t>SERGIO LUIZ</t>
  </si>
  <si>
    <t>QXP-0A66</t>
  </si>
  <si>
    <t>RMM-9G87</t>
  </si>
  <si>
    <t>RMP-7G79</t>
  </si>
  <si>
    <t>VAGNER MARTINS</t>
  </si>
  <si>
    <t>RMX-2I57</t>
  </si>
  <si>
    <t>RMX-2J20</t>
  </si>
  <si>
    <t>RNB-8D30</t>
  </si>
  <si>
    <t>RNL-3H90</t>
  </si>
  <si>
    <t>RTO-3C00</t>
  </si>
  <si>
    <t>VINICIUS</t>
  </si>
  <si>
    <t>RUD-4I96</t>
  </si>
  <si>
    <t>RUL-9I28</t>
  </si>
  <si>
    <t>RUM-0F46</t>
  </si>
  <si>
    <t>MARCOS MASSIEL</t>
  </si>
  <si>
    <t>RUM-5C24</t>
  </si>
  <si>
    <t>LOGAN EXCLUSIVE EASYR HI-FLEX 1.6 8V 4P</t>
  </si>
  <si>
    <t>RVB-4A40</t>
  </si>
  <si>
    <t>RVC-9F60</t>
  </si>
  <si>
    <t>SIV-7E88</t>
  </si>
  <si>
    <t>HB20S COMFORT 1.0 FLEX 12V MEC.</t>
  </si>
  <si>
    <t>ANDRE BELO DA SILVA</t>
  </si>
  <si>
    <t>SYC-2B12</t>
  </si>
  <si>
    <t>SIR-6J70</t>
  </si>
  <si>
    <t>RAFAEL OLIVEIRA</t>
  </si>
  <si>
    <t>RNG-8C95</t>
  </si>
  <si>
    <t>RVO-8J08</t>
  </si>
  <si>
    <t>RVV-8I45</t>
  </si>
  <si>
    <t>JAD-6G37</t>
  </si>
  <si>
    <t>MARCO ANTONIO</t>
  </si>
  <si>
    <t>JBA-9I95</t>
  </si>
  <si>
    <t>SERGIO PAULO</t>
  </si>
  <si>
    <t>JBF-6E64</t>
  </si>
  <si>
    <t>NBJ-2I16</t>
  </si>
  <si>
    <t>CRONOS DRIVE 1.0 6V FLEX</t>
  </si>
  <si>
    <t>PZG-8F56</t>
  </si>
  <si>
    <t>SANDERO EXPRESSION HI-POWER 1.0 16V 5P</t>
  </si>
  <si>
    <t>QOX-2E98</t>
  </si>
  <si>
    <t>KA SEL 1.5 16V FLEX 5P</t>
  </si>
  <si>
    <t>QXU-2E61</t>
  </si>
  <si>
    <t>RFD-2I74</t>
  </si>
  <si>
    <t>RFP-4G31</t>
  </si>
  <si>
    <t>RFU-8C84</t>
  </si>
  <si>
    <t>RHP-9A16</t>
  </si>
  <si>
    <t>VOYAGE 1.6 MSI FLEX 8V 4P</t>
  </si>
  <si>
    <t>RMN-3G35</t>
  </si>
  <si>
    <t>RMR-0I77</t>
  </si>
  <si>
    <t>RMU-7G86</t>
  </si>
  <si>
    <t>RNB-9H55</t>
  </si>
  <si>
    <t>GAVIÃO</t>
  </si>
  <si>
    <t>RNE-6G04</t>
  </si>
  <si>
    <t>RNG-8D02</t>
  </si>
  <si>
    <t>RNM-3B46</t>
  </si>
  <si>
    <t>RRQ-9G68</t>
  </si>
  <si>
    <t>DUSTER 1.6 HI - FLEX 16V MEC</t>
  </si>
  <si>
    <t>RTG-3C59</t>
  </si>
  <si>
    <t>RUM-8A15</t>
  </si>
  <si>
    <t>RUZ-1C10</t>
  </si>
  <si>
    <t>LOGAN AUTHENTIQUE FLEX 1.0 12V 4P</t>
  </si>
  <si>
    <t>RVG-2H43</t>
  </si>
  <si>
    <t>GUILHERME DA COSTA</t>
  </si>
  <si>
    <t>RVP-0H61</t>
  </si>
  <si>
    <t>C4 CACTUS C-SERIES 1.6 16V FLEX AUT.</t>
  </si>
  <si>
    <t>RWN-2G17</t>
  </si>
  <si>
    <t>SJG-1D02</t>
  </si>
  <si>
    <t>KENO</t>
  </si>
  <si>
    <t>STB-9G01</t>
  </si>
  <si>
    <t>POLO 1.0 FLEX 12V 5P</t>
  </si>
  <si>
    <t>RUG-4E06</t>
  </si>
  <si>
    <t>EHY-9E25</t>
  </si>
  <si>
    <t>BAM-3J53</t>
  </si>
  <si>
    <t>DERIC</t>
  </si>
  <si>
    <t>BDA-0J48</t>
  </si>
  <si>
    <t>SENTRA 2.0/ 2.0 FLEX FUEL 16V AUT.</t>
  </si>
  <si>
    <t>EOO-7B54</t>
  </si>
  <si>
    <t>EST-9B27</t>
  </si>
  <si>
    <t>IZW-1H94</t>
  </si>
  <si>
    <t>ONIX HATCH LT 1.0 8V FLEXPOWER 5P MEC.</t>
  </si>
  <si>
    <t>QXJ-6J20</t>
  </si>
  <si>
    <t>RFS-0C10</t>
  </si>
  <si>
    <t>RME-1H75</t>
  </si>
  <si>
    <t>RMO-0E66</t>
  </si>
  <si>
    <t>RMO-0F64</t>
  </si>
  <si>
    <t>RMO-1C50</t>
  </si>
  <si>
    <t>DIONATHAN</t>
  </si>
  <si>
    <t>RMR-1H63</t>
  </si>
  <si>
    <t>RND-2D03</t>
  </si>
  <si>
    <t>RND-7G93</t>
  </si>
  <si>
    <t>RNQ-0C55</t>
  </si>
  <si>
    <t>RNR-4F73</t>
  </si>
  <si>
    <t>RTH-0A99</t>
  </si>
  <si>
    <t>RTL-9B43</t>
  </si>
  <si>
    <t>RUO-1G67</t>
  </si>
  <si>
    <t>RUO-6J85</t>
  </si>
  <si>
    <t>RVC-7G15</t>
  </si>
  <si>
    <t>RVD-5G02</t>
  </si>
  <si>
    <t>RVJ-4E50</t>
  </si>
  <si>
    <t>RXW-1F85</t>
  </si>
  <si>
    <t>ARGO 1.0 6V FLEX.</t>
  </si>
  <si>
    <t>SHJ-6F92</t>
  </si>
  <si>
    <t>AZD-4B13</t>
  </si>
  <si>
    <t>ELP-2A22</t>
  </si>
  <si>
    <t>NIVUS HIGHLINE 1.0 200 TSI FLEX AUT.</t>
  </si>
  <si>
    <t>FIX-8G74</t>
  </si>
  <si>
    <t>IYE-9J71</t>
  </si>
  <si>
    <t>JAE-9H73</t>
  </si>
  <si>
    <t>HB20 SENSE 1.0 FLEX 12V MEC.</t>
  </si>
  <si>
    <t>JBE-6G84</t>
  </si>
  <si>
    <t>JOAO HERMES HERTZ JUNIOR</t>
  </si>
  <si>
    <t>JBH-8A84</t>
  </si>
  <si>
    <t>QIA-6G24</t>
  </si>
  <si>
    <t>QXU-7J46</t>
  </si>
  <si>
    <t>RFS-8F53</t>
  </si>
  <si>
    <t>PAULO CESAR</t>
  </si>
  <si>
    <t>RFV-4D64</t>
  </si>
  <si>
    <t>RGA-3H51</t>
  </si>
  <si>
    <t>RHP-4J42</t>
  </si>
  <si>
    <t>RHQ-7H80</t>
  </si>
  <si>
    <t>JONATHAS KONARZEWSKI SOEIRO DE SOUZA</t>
  </si>
  <si>
    <t>RMM-9B11</t>
  </si>
  <si>
    <t>DUSTER ZEN 1.6 16V FLEX AUT.</t>
  </si>
  <si>
    <t>RMN-7F19</t>
  </si>
  <si>
    <t>RMN-9C43</t>
  </si>
  <si>
    <t>GOL CL 1.6 MI 2P E 4P</t>
  </si>
  <si>
    <t>RMO-2B59</t>
  </si>
  <si>
    <t>RMO-2C39</t>
  </si>
  <si>
    <t>RMQ-4D42</t>
  </si>
  <si>
    <t>RMX-2I64</t>
  </si>
  <si>
    <t>RMY-3G42</t>
  </si>
  <si>
    <t>RNB-8D26</t>
  </si>
  <si>
    <t>RNB-9H48</t>
  </si>
  <si>
    <t>RNC-0C79</t>
  </si>
  <si>
    <t>RND-2D00</t>
  </si>
  <si>
    <t>RNF-0A14</t>
  </si>
  <si>
    <t>RNQ-1C16</t>
  </si>
  <si>
    <t>RTL-3B58</t>
  </si>
  <si>
    <t>RUD-4I95</t>
  </si>
  <si>
    <t>RVC-5E37</t>
  </si>
  <si>
    <t>RVH-0A48</t>
  </si>
  <si>
    <t>RVO-3G41</t>
  </si>
  <si>
    <t>RVP-2J46</t>
  </si>
  <si>
    <t>RVU-6D96</t>
  </si>
  <si>
    <t>RWY-4D19</t>
  </si>
  <si>
    <t>SWF-7B41</t>
  </si>
  <si>
    <t>BRENO</t>
  </si>
  <si>
    <t>STI-3F89</t>
  </si>
  <si>
    <t>QXE-8A31</t>
  </si>
  <si>
    <t>RVU-6E02</t>
  </si>
  <si>
    <t>RAH-5I04</t>
  </si>
  <si>
    <t>ONIX SEDAN PLUS 1.0 12V TB FLEX MEC.</t>
  </si>
  <si>
    <t>IYT-9C09</t>
  </si>
  <si>
    <t>COROLLA GLI UPPER 1.8 FLEX 16V AUT</t>
  </si>
  <si>
    <t>DTB-8F91</t>
  </si>
  <si>
    <t>RNQ-1I50</t>
  </si>
  <si>
    <t>SEW-6A62</t>
  </si>
  <si>
    <t>IXQ-9H12</t>
  </si>
  <si>
    <t>RMO-2B63</t>
  </si>
  <si>
    <t>RNP-9E64</t>
  </si>
  <si>
    <t>RWT-2F17</t>
  </si>
  <si>
    <t>RNS-1H71</t>
  </si>
  <si>
    <t>RMW-8I61</t>
  </si>
  <si>
    <t>RVB-0C76</t>
  </si>
  <si>
    <t>FNO-8G34</t>
  </si>
  <si>
    <t>GOL TRENDLINE 1.0 T.FLEX 12V 5P</t>
  </si>
  <si>
    <t>IYQ-8F79</t>
  </si>
  <si>
    <t>HB20 COMF./C.PLUS/C.STYLE 1.0 FLEX 12V</t>
  </si>
  <si>
    <t>MILTON</t>
  </si>
  <si>
    <t>PZC-6116</t>
  </si>
  <si>
    <t>KA 1.0 8V/1.0 8V ST FLEX 3P</t>
  </si>
  <si>
    <t>QQT-6D17</t>
  </si>
  <si>
    <t>QUL-6B98</t>
  </si>
  <si>
    <t>UNO DRIVE 1.0 FLEX 6V 5P</t>
  </si>
  <si>
    <t>QXG-0B80</t>
  </si>
  <si>
    <t>LOGAN ZEN FLEX 1.0 12V 4P MEC.</t>
  </si>
  <si>
    <t>VERA IONICE</t>
  </si>
  <si>
    <t>RFR-3B43</t>
  </si>
  <si>
    <t>RMF-6B44</t>
  </si>
  <si>
    <t>RMI-6D62</t>
  </si>
  <si>
    <t>RMO-2B75</t>
  </si>
  <si>
    <t>RMV-5G22</t>
  </si>
  <si>
    <t>RNP-9F84</t>
  </si>
  <si>
    <t>RNW-3F47</t>
  </si>
  <si>
    <t>RTB-0H60</t>
  </si>
  <si>
    <t>RTF-9B98</t>
  </si>
  <si>
    <t>RTY-7A00</t>
  </si>
  <si>
    <t>RUG-0I02</t>
  </si>
  <si>
    <t>CRUZE LT 1.4 16V TURBO FLEX 4P AUT.</t>
  </si>
  <si>
    <t>RVC-9I09</t>
  </si>
  <si>
    <t>RVF-0D56</t>
  </si>
  <si>
    <t>RVR-5J02</t>
  </si>
  <si>
    <t>SIP-1C38</t>
  </si>
  <si>
    <t>Contrato ativo</t>
  </si>
  <si>
    <t>Sim</t>
  </si>
  <si>
    <t>Não</t>
  </si>
  <si>
    <t>Manutenção por motorista</t>
  </si>
  <si>
    <t>Semana</t>
  </si>
  <si>
    <t>Data</t>
  </si>
  <si>
    <t>Órgão autuador</t>
  </si>
  <si>
    <t>Condutor</t>
  </si>
  <si>
    <t>Paga</t>
  </si>
  <si>
    <t>Valor</t>
  </si>
  <si>
    <t>Auto de infração</t>
  </si>
  <si>
    <t>Veículo</t>
  </si>
  <si>
    <t>Data da infração</t>
  </si>
  <si>
    <t>PREFEITURA MUNICIPAL DE PORTO ALEGRE</t>
  </si>
  <si>
    <t>DIONATAN PINHEIRO LIMA</t>
  </si>
  <si>
    <t>NÃO</t>
  </si>
  <si>
    <t>TE02106981</t>
  </si>
  <si>
    <t>PREFEITURA MUNICIPAL DE CACHOEIRINHA</t>
  </si>
  <si>
    <t>EL00081679</t>
  </si>
  <si>
    <t>DER - RS</t>
  </si>
  <si>
    <t>HAIRON HENRIQUE DOS SANTOS LACERDA</t>
  </si>
  <si>
    <t>E032493511</t>
  </si>
  <si>
    <t>TE02076294</t>
  </si>
  <si>
    <t>TE02132865</t>
  </si>
  <si>
    <t>EL00080426</t>
  </si>
  <si>
    <t>PREFEITURA MUNICIPAL DE GRAVATAI</t>
  </si>
  <si>
    <t>E032540904</t>
  </si>
  <si>
    <t>HYPTEC HT ELITE</t>
  </si>
  <si>
    <t>DEPARTAMENTO DE POLÍCIA RODOVIÁRIA FEDERAL</t>
  </si>
  <si>
    <t>J006398739</t>
  </si>
  <si>
    <t>VINICIUS SALLES PINZON</t>
  </si>
  <si>
    <t>TE02135011</t>
  </si>
  <si>
    <t>GUSTAVO DOS SANTOS FOGACA</t>
  </si>
  <si>
    <t>TE02149197</t>
  </si>
  <si>
    <t>TE02149198</t>
  </si>
  <si>
    <t xml:space="preserve"> JEFERSON LUIZ RAMOS</t>
  </si>
  <si>
    <t>TE02620056</t>
  </si>
  <si>
    <t>GABRIELI NAYR DOS SANTOS ORTIZ</t>
  </si>
  <si>
    <t>E032527735</t>
  </si>
  <si>
    <t>EDUARDO ALVES</t>
  </si>
  <si>
    <t>E032522988</t>
  </si>
  <si>
    <t>PREFEITURA MUNICIPAL DE SAO LEOPOLDO</t>
  </si>
  <si>
    <t>E032480956</t>
  </si>
  <si>
    <t>DETRAN - RS</t>
  </si>
  <si>
    <t>TE55215115</t>
  </si>
  <si>
    <t>E032491105</t>
  </si>
  <si>
    <t xml:space="preserve">THIAGO BORGES DOS REIS </t>
  </si>
  <si>
    <t>TE02132142</t>
  </si>
  <si>
    <t>E032509177</t>
  </si>
  <si>
    <t>TE02126554</t>
  </si>
  <si>
    <t>WILLIAM MATHEUS BELITZ DA SILVA</t>
  </si>
  <si>
    <t>J006528826</t>
  </si>
  <si>
    <t>PREFEITURA MUNICIPAL DE VIAMAO</t>
  </si>
  <si>
    <t xml:space="preserve"> VICTOR DAITX LIMA</t>
  </si>
  <si>
    <t>E032581705</t>
  </si>
  <si>
    <t>PREFEITURA MUNICIPAL DE CANOAS</t>
  </si>
  <si>
    <t>TE00227972</t>
  </si>
  <si>
    <t xml:space="preserve">TAINA RODRIGUES DE ALMEIDA DE ALBUQUERQUE </t>
  </si>
  <si>
    <t>TE02602429</t>
  </si>
  <si>
    <t>TE02602428</t>
  </si>
  <si>
    <t>ANDRIUS GUSTAVO ALVES</t>
  </si>
  <si>
    <t>E032464819</t>
  </si>
  <si>
    <t>NICOLAS MUCCILLO</t>
  </si>
  <si>
    <t>TE54903296</t>
  </si>
  <si>
    <t>BRUNO LEAL CORSINO</t>
  </si>
  <si>
    <t>E032517144</t>
  </si>
  <si>
    <t>ROSEANE DA SILVA CAMARA</t>
  </si>
  <si>
    <t>E032486141</t>
  </si>
  <si>
    <t>PREFEITURA MUNICIPAL DE NOVO HAMBURGO</t>
  </si>
  <si>
    <t>MICHAEL DOUGLAS SANTOS LOPES</t>
  </si>
  <si>
    <t>E032527882</t>
  </si>
  <si>
    <t>VOYAGE COMFORTLINE 1.0 T.FLEX 12V 4P</t>
  </si>
  <si>
    <t>PAULO RICARDO DOS PASSOS</t>
  </si>
  <si>
    <t>J006501062</t>
  </si>
  <si>
    <t>DUSTER 1.6 HI-FLEX 16V MEC.</t>
  </si>
  <si>
    <t xml:space="preserve">EDSON DA SILVA ANDREGIESKI </t>
  </si>
  <si>
    <t>TE02566772</t>
  </si>
  <si>
    <t>GUILHERME DA SILVA MELEU</t>
  </si>
  <si>
    <t>E032541514</t>
  </si>
  <si>
    <t>E032573767</t>
  </si>
  <si>
    <t>E032540105</t>
  </si>
  <si>
    <t xml:space="preserve">RAQUEL FELHAUER </t>
  </si>
  <si>
    <t>E032552993</t>
  </si>
  <si>
    <t>JOSUE LUIS PEREIRA DA LUZ</t>
  </si>
  <si>
    <t>E032560638</t>
  </si>
  <si>
    <t>SILVANO CARVALHO DOS SANTOS</t>
  </si>
  <si>
    <t>TE00158826</t>
  </si>
  <si>
    <t>PREFEITURA MUNICIPAL DE CAXIAS DO SUL</t>
  </si>
  <si>
    <t>MARIO MOREIRA DE PROENCA</t>
  </si>
  <si>
    <t>IYE-6J71</t>
  </si>
  <si>
    <t>E032598885</t>
  </si>
  <si>
    <t>VINICIOS DE OLIVEIRA CAMARGO</t>
  </si>
  <si>
    <t>E032575604</t>
  </si>
  <si>
    <t>E032575867</t>
  </si>
  <si>
    <t>TE02660011</t>
  </si>
  <si>
    <t>E032543704</t>
  </si>
  <si>
    <t>JOSE ISAEL MACEDO</t>
  </si>
  <si>
    <t>E032454325</t>
  </si>
  <si>
    <t>KWID LIFE 1.0 FLEX 12V 5P MEC.</t>
  </si>
  <si>
    <t>CARLOS EDUARDO QUEROTTI</t>
  </si>
  <si>
    <t>J006575920</t>
  </si>
  <si>
    <t>E032566225</t>
  </si>
  <si>
    <t>PLACA</t>
  </si>
  <si>
    <t>data Infração</t>
  </si>
  <si>
    <t>data do pagamento</t>
  </si>
  <si>
    <t>VALOR</t>
  </si>
  <si>
    <t>Pago para</t>
  </si>
  <si>
    <t>JBJ1C77</t>
  </si>
  <si>
    <t>CLIK</t>
  </si>
  <si>
    <t>RMO1C50</t>
  </si>
  <si>
    <t>DETRAN</t>
  </si>
  <si>
    <t>RMR1H63</t>
  </si>
  <si>
    <t>RUY9I48</t>
  </si>
  <si>
    <t>Pagamento JURÍDICO</t>
  </si>
  <si>
    <t xml:space="preserve">SIN0F25 </t>
  </si>
  <si>
    <t xml:space="preserve">RVO4E03 </t>
  </si>
  <si>
    <t>Lucro</t>
  </si>
  <si>
    <t>Origem</t>
  </si>
  <si>
    <t>Valor R$</t>
  </si>
  <si>
    <t>Destino</t>
  </si>
  <si>
    <t>Mês</t>
  </si>
  <si>
    <t>Ano</t>
  </si>
  <si>
    <t>Receita Carros</t>
  </si>
  <si>
    <t>Banrisul</t>
  </si>
  <si>
    <t>Dinheiro</t>
  </si>
  <si>
    <t>Nubank</t>
  </si>
  <si>
    <t>Tipo de Gasto</t>
  </si>
  <si>
    <t>Detalhamento</t>
  </si>
  <si>
    <t>Categoria</t>
  </si>
  <si>
    <t>Fonte</t>
  </si>
  <si>
    <t>Repasse investidores</t>
  </si>
  <si>
    <t>Supermercado</t>
  </si>
  <si>
    <t>Despesa Variável</t>
  </si>
  <si>
    <t>Despesa Operacional</t>
  </si>
  <si>
    <t>Manutenção / Reforma da casa</t>
  </si>
  <si>
    <t>Despesa Fixa</t>
  </si>
  <si>
    <t>IPVA</t>
  </si>
  <si>
    <t>Transferências Victor</t>
  </si>
  <si>
    <t>Prestação /Aluguel de imóvel</t>
  </si>
  <si>
    <t>Investimentos</t>
  </si>
  <si>
    <t>Não Identificado</t>
  </si>
  <si>
    <t>Impostos</t>
  </si>
  <si>
    <t>Pagamento de Multas</t>
  </si>
  <si>
    <t>Outros cursos</t>
  </si>
  <si>
    <t>Custo Operacional</t>
  </si>
  <si>
    <t>Decoração da casa</t>
  </si>
  <si>
    <t>Bradesco</t>
  </si>
  <si>
    <t xml:space="preserve">Presentes </t>
  </si>
  <si>
    <t>Estacionamento</t>
  </si>
  <si>
    <t xml:space="preserve">Viagens </t>
  </si>
  <si>
    <t xml:space="preserve">Imposto de Renda a Pagar </t>
  </si>
  <si>
    <t>Material Escolar</t>
  </si>
  <si>
    <t>Juros</t>
  </si>
  <si>
    <t>Veterinário / medicamento</t>
  </si>
  <si>
    <t>Investimento</t>
  </si>
  <si>
    <t>Compra Carro elétrico</t>
  </si>
  <si>
    <t>Consórcio</t>
  </si>
  <si>
    <t>Total Despesa</t>
  </si>
  <si>
    <t>Total Receita</t>
  </si>
  <si>
    <t>Porcentagem</t>
  </si>
  <si>
    <t>Janeiro</t>
  </si>
  <si>
    <t>Fevereiro</t>
  </si>
  <si>
    <t>RVR-2I91</t>
  </si>
  <si>
    <t>CARLOS EDUARDO</t>
  </si>
  <si>
    <t>RAB-1I15</t>
  </si>
  <si>
    <t>DIEGO</t>
  </si>
  <si>
    <t>Pêndencia CRVA</t>
  </si>
  <si>
    <t>TRB-0G28</t>
  </si>
  <si>
    <t>TDE-0I08</t>
  </si>
  <si>
    <t>HB20S 5 ANOS 1.0 FLEX 12V MEC.</t>
  </si>
  <si>
    <t>RTH-0A87</t>
  </si>
  <si>
    <t>TDH-2A84</t>
  </si>
  <si>
    <t>TCS-5D39</t>
  </si>
  <si>
    <t>JBT-1D71</t>
  </si>
  <si>
    <t>MARLENE</t>
  </si>
  <si>
    <t>JBK-2H21</t>
  </si>
  <si>
    <t>IZD-4H33</t>
  </si>
  <si>
    <t>JCS-0J16</t>
  </si>
  <si>
    <t>DOLPHIN MINI (ELÉTRICO)</t>
  </si>
  <si>
    <t>TCI-8J04</t>
  </si>
  <si>
    <t>TCP-1H96</t>
  </si>
  <si>
    <t>GABRIEL SIMAS</t>
  </si>
  <si>
    <t>F</t>
  </si>
  <si>
    <t>#VALUE!</t>
  </si>
  <si>
    <t>RUK-5F37</t>
  </si>
  <si>
    <t>TAILON BOLIVAR</t>
  </si>
  <si>
    <t>RTV-4D83</t>
  </si>
  <si>
    <t>EDUARDO PAIVA</t>
  </si>
  <si>
    <t>SUZ-3J63</t>
  </si>
  <si>
    <t>Multas</t>
  </si>
  <si>
    <t>DENIS ZORZAN DA ROCHA</t>
  </si>
  <si>
    <t>TE55840234</t>
  </si>
  <si>
    <t xml:space="preserve">GUSTAVO MAIA </t>
  </si>
  <si>
    <t>E032581083</t>
  </si>
  <si>
    <t>MATHEUS DA SILVA FERREIRA</t>
  </si>
  <si>
    <t>TE55618263</t>
  </si>
  <si>
    <t>TE02110908</t>
  </si>
  <si>
    <t xml:space="preserve"> LUAN MACHADO CABRAL</t>
  </si>
  <si>
    <t>E032578458</t>
  </si>
  <si>
    <t>C4 CACTUS 100 ANOS 1.6 TB 16V FLEX AUT.</t>
  </si>
  <si>
    <t>RAFAEL MANDINI SILVA DA FONSECA</t>
  </si>
  <si>
    <t>E032622522</t>
  </si>
  <si>
    <t>TE02119687</t>
  </si>
  <si>
    <t>ANDRE FERNANDO ROSA DA SILVA</t>
  </si>
  <si>
    <t>TE02593073</t>
  </si>
  <si>
    <t>ROGER SANTOS DA SILVA</t>
  </si>
  <si>
    <t>J006719644</t>
  </si>
  <si>
    <t>E032673638</t>
  </si>
  <si>
    <t>E032585390</t>
  </si>
  <si>
    <t xml:space="preserve"> CARLOS ALEXANDRE MENDES DE OLIVEIRA</t>
  </si>
  <si>
    <t>E032671245</t>
  </si>
  <si>
    <t>DNIT - DEPARTAMENTO NACIONAL DE INFRAESTRUTURA DE TRANSPORTES</t>
  </si>
  <si>
    <t>S048996776</t>
  </si>
  <si>
    <t>E032656183</t>
  </si>
  <si>
    <t>VAGNER MOREIRA DA SILVA</t>
  </si>
  <si>
    <t>S048948662</t>
  </si>
  <si>
    <t>PREFEITURA MUNICIPAL DE GUAIBA</t>
  </si>
  <si>
    <t>RODRIGO RODRIGUES DOS SANTOS</t>
  </si>
  <si>
    <t>TE00031906</t>
  </si>
  <si>
    <t>PREFEITURA MUNICIPAL DE ALVORADA</t>
  </si>
  <si>
    <t>JEFERSON PINHEIRO LIMA</t>
  </si>
  <si>
    <t>Z000021488</t>
  </si>
  <si>
    <t>E032665354</t>
  </si>
  <si>
    <t>SANCLER ARAUJO DE ASSIS COLARES</t>
  </si>
  <si>
    <t>E032628692</t>
  </si>
  <si>
    <t>ARIEL HEINICH PEREIRA</t>
  </si>
  <si>
    <t>E032623549</t>
  </si>
  <si>
    <t>BERNARDO BATISTA TURLAJ</t>
  </si>
  <si>
    <t>EL00082893</t>
  </si>
  <si>
    <t>E032654211</t>
  </si>
  <si>
    <t xml:space="preserve">LEONARDO DOS SANTOS GOMES LEMES </t>
  </si>
  <si>
    <t>E032462179</t>
  </si>
  <si>
    <t>RENAN FARIAS LUDWIG</t>
  </si>
  <si>
    <t>S048935246</t>
  </si>
  <si>
    <t>S048968240</t>
  </si>
  <si>
    <t xml:space="preserve">SILVIO LUIS DE SOUZA KRUEL </t>
  </si>
  <si>
    <t>Z000021673</t>
  </si>
  <si>
    <t>E032646367</t>
  </si>
  <si>
    <t>RAFAEL KOWALSKI DOS SANTOS</t>
  </si>
  <si>
    <t>TE02149169</t>
  </si>
  <si>
    <t>KICKS SV 1.6 16V FLEXSTAR 5P AUT.</t>
  </si>
  <si>
    <t>TE02141204</t>
  </si>
  <si>
    <t>E032631449</t>
  </si>
  <si>
    <t>SIM</t>
  </si>
  <si>
    <t>E032651634</t>
  </si>
  <si>
    <t>TE00149280</t>
  </si>
  <si>
    <t>J006747487</t>
  </si>
  <si>
    <t>JONAS MICHALSKI PARODE</t>
  </si>
  <si>
    <t>E032596480</t>
  </si>
  <si>
    <t>E032647072</t>
  </si>
  <si>
    <t>PREFEITURA MUNICIPAL DE ESTEIO</t>
  </si>
  <si>
    <t>TE00078769</t>
  </si>
  <si>
    <t>Março</t>
  </si>
  <si>
    <t>E032573563</t>
  </si>
  <si>
    <t>TE02148295</t>
  </si>
  <si>
    <t>PAULO ROBERTO SORES</t>
  </si>
  <si>
    <t>E032762878</t>
  </si>
  <si>
    <t>EVERALDO SANTOS DA SILVA</t>
  </si>
  <si>
    <t>TE55287093</t>
  </si>
  <si>
    <t>TE55287094</t>
  </si>
  <si>
    <t>MATHEUS ABREU DE CARVALHO</t>
  </si>
  <si>
    <t>TE00155727</t>
  </si>
  <si>
    <t>WILLIAM MEIRELES DE OLIVEIRA</t>
  </si>
  <si>
    <t>TE02124436</t>
  </si>
  <si>
    <t>PAMELA DOS SANTOS SOARES</t>
  </si>
  <si>
    <t>TE02120825</t>
  </si>
  <si>
    <t>C4 CACTUS FEEL BUS. 1.6 FLEX AUT.</t>
  </si>
  <si>
    <t>GUILHERME AUGUSTO DAS NEVES DE OLIVEIRA</t>
  </si>
  <si>
    <t>E032702456</t>
  </si>
  <si>
    <t>LUIZ ERNESTO IGLESIAS DOS SANTOS JUNIOR</t>
  </si>
  <si>
    <t>E032784838</t>
  </si>
  <si>
    <t>SAMUEL LUIS FORTES</t>
  </si>
  <si>
    <t>E032780804</t>
  </si>
  <si>
    <t>J007150626</t>
  </si>
  <si>
    <t>E032818421</t>
  </si>
  <si>
    <t>EL00085832</t>
  </si>
  <si>
    <t>VIRTUS TSI 1.0 FLEX 12V 4P AUT.</t>
  </si>
  <si>
    <t>E032782638</t>
  </si>
  <si>
    <t>E032700949</t>
  </si>
  <si>
    <t xml:space="preserve">SANDRO ELISEU CHAGAS </t>
  </si>
  <si>
    <t>TE02140215</t>
  </si>
  <si>
    <t>E032707720</t>
  </si>
  <si>
    <t>D008969339</t>
  </si>
  <si>
    <t xml:space="preserve">GUSTAVO GABRIEL SOARES DA COSTA </t>
  </si>
  <si>
    <t>E032771420</t>
  </si>
  <si>
    <t>E032755325</t>
  </si>
  <si>
    <t>E032802109</t>
  </si>
  <si>
    <t>LIAN GABRIEL SANTOS QUEIROZ</t>
  </si>
  <si>
    <t>J006843792</t>
  </si>
  <si>
    <t>TE02154279</t>
  </si>
  <si>
    <t>E032695060</t>
  </si>
  <si>
    <t>E032771628</t>
  </si>
  <si>
    <t xml:space="preserve">DIEGO FERREIRA DA SILVA </t>
  </si>
  <si>
    <t>E032717505</t>
  </si>
  <si>
    <t>JAQUELINE CARDOSO</t>
  </si>
  <si>
    <t>TE55442913</t>
  </si>
  <si>
    <t>E032827862</t>
  </si>
  <si>
    <t>PABLO HENRIQUE CALDEIRA DA LUZ</t>
  </si>
  <si>
    <t>E032780686</t>
  </si>
  <si>
    <t>NILTON BARBOZA DE SOUZA</t>
  </si>
  <si>
    <t>TE02645058</t>
  </si>
  <si>
    <t>DARIO DA SILVA BOTELHO</t>
  </si>
  <si>
    <t>E032798242</t>
  </si>
  <si>
    <t>E032798956</t>
  </si>
  <si>
    <t>MAIQUEL SOARES CORREA</t>
  </si>
  <si>
    <t>TE55852613</t>
  </si>
  <si>
    <t>TE55852612</t>
  </si>
  <si>
    <t xml:space="preserve"> EDUARDO FERREIRA PINHEIRO</t>
  </si>
  <si>
    <t>E032758040</t>
  </si>
  <si>
    <t xml:space="preserve">ROLANDO LUIZ DAMICO CIMA </t>
  </si>
  <si>
    <t>E032777300</t>
  </si>
  <si>
    <t>E032748211</t>
  </si>
  <si>
    <t>VITOR ROGER SILVA DE MELO</t>
  </si>
  <si>
    <t>E032797308</t>
  </si>
  <si>
    <t>E032825665</t>
  </si>
  <si>
    <t>E032757109</t>
  </si>
  <si>
    <t>TE02150912</t>
  </si>
  <si>
    <t>PREFEITURA MUNICIPAL DE ELDORADO DO SUL</t>
  </si>
  <si>
    <t xml:space="preserve">GEISON GOULART DOS SANTOS </t>
  </si>
  <si>
    <t>TE00025962</t>
  </si>
  <si>
    <t>E032736848</t>
  </si>
  <si>
    <t>E032753144</t>
  </si>
  <si>
    <t>BRUNO CÉSAR DA ROSA FALCÃO</t>
  </si>
  <si>
    <t>E032786690</t>
  </si>
  <si>
    <t xml:space="preserve">MAIQUE SILVA CARMO </t>
  </si>
  <si>
    <t>E032728646</t>
  </si>
  <si>
    <t>LUIZ GUSTAVO FERREIRA MACHADO</t>
  </si>
  <si>
    <t>E032774338</t>
  </si>
  <si>
    <t>E032710275</t>
  </si>
  <si>
    <t>GABRIEL KOHLRAUSCH</t>
  </si>
  <si>
    <t>TE02651458</t>
  </si>
  <si>
    <t>PREFEITURA MUNICIPAL DE CAJUEIRO DA PRAIA</t>
  </si>
  <si>
    <t xml:space="preserve">LUCAS SEBASTIAN ACOSTA ARAUJO DA ROCHA </t>
  </si>
  <si>
    <t>TE02067809</t>
  </si>
  <si>
    <t>E032705074</t>
  </si>
  <si>
    <t>DER - SC</t>
  </si>
  <si>
    <t>JERONIMO ARAUJO MARTINS</t>
  </si>
  <si>
    <t>C169012333</t>
  </si>
  <si>
    <t>D008969338</t>
  </si>
  <si>
    <t xml:space="preserve">DIELLE NUNES </t>
  </si>
  <si>
    <t>E032766155</t>
  </si>
  <si>
    <t>RUM-1A29</t>
  </si>
  <si>
    <t>TJX-6I25</t>
  </si>
  <si>
    <t>IZO-4H16</t>
  </si>
  <si>
    <t>DOUGLAS</t>
  </si>
  <si>
    <t>SIH-0G09</t>
  </si>
  <si>
    <t>NORTON</t>
  </si>
  <si>
    <t>TDA-5J39</t>
  </si>
  <si>
    <t>CRISTHIAN HEINZ</t>
  </si>
  <si>
    <t>TDA-5J42</t>
  </si>
  <si>
    <t>sdsdasdasda</t>
  </si>
  <si>
    <t>jhkjkhjkh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</si>
</sst>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\R\$\ * #,##0.00_-;\-\R\$\ * #,##0.00_-;_-\R\$\ * &quot; - &quot;??_-;_-@_-"/>
    <numFmt numFmtId="165" formatCode="_-\R\$\ * #,##0.00_-;\-\R\$\ * #,##0.00_-;_-\R\$\ * &quot; - &quot;??_-;_-@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1D365A"/>
      <name val="Calibri"/>
    </font>
    <font>
      <sz val="11"/>
      <color rgb="FF3F4040"/>
      <name val="Calibri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3F404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DE2FC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04342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A2BDEB"/>
      </bottom>
      <diagonal/>
    </border>
    <border>
      <left/>
      <right/>
      <top/>
      <bottom style="thin">
        <color rgb="FF94B3DE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49" fontId="4" fillId="2" borderId="1" xfId="0" applyNumberFormat="1" applyFont="1" applyFill="1" applyBorder="1" applyAlignment="1">
      <alignment horizontal="justify" vertical="center"/>
    </xf>
    <xf numFmtId="0" fontId="0" fillId="0" borderId="0" xfId="0" applyAlignment="1">
      <alignment vertical="center"/>
    </xf>
    <xf numFmtId="0" fontId="5" fillId="0" borderId="2" xfId="0" applyFont="1" applyBorder="1" applyAlignment="1">
      <alignment horizontal="justify" vertical="center"/>
    </xf>
    <xf numFmtId="164" fontId="5" fillId="0" borderId="2" xfId="0" applyNumberFormat="1" applyFont="1" applyBorder="1" applyAlignment="1">
      <alignment horizontal="justify" vertical="center"/>
    </xf>
    <xf numFmtId="22" fontId="5" fillId="0" borderId="2" xfId="0" applyNumberFormat="1" applyFont="1" applyBorder="1" applyAlignment="1">
      <alignment horizontal="justify" vertical="center"/>
    </xf>
    <xf numFmtId="0" fontId="6" fillId="0" borderId="3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14" fontId="7" fillId="0" borderId="4" xfId="0" applyNumberFormat="1" applyFont="1" applyBorder="1" applyAlignment="1">
      <alignment horizontal="center"/>
    </xf>
    <xf numFmtId="8" fontId="7" fillId="0" borderId="4" xfId="0" applyNumberFormat="1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/>
    </xf>
    <xf numFmtId="8" fontId="7" fillId="3" borderId="0" xfId="0" applyNumberFormat="1" applyFont="1" applyFill="1" applyAlignment="1">
      <alignment horizontal="center" vertical="center"/>
    </xf>
    <xf numFmtId="165" fontId="7" fillId="3" borderId="0" xfId="0" applyNumberFormat="1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8" fontId="7" fillId="0" borderId="0" xfId="0" applyNumberFormat="1" applyFont="1" applyAlignment="1">
      <alignment horizontal="center" vertical="center"/>
    </xf>
    <xf numFmtId="8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8" fontId="6" fillId="4" borderId="0" xfId="0" applyNumberFormat="1" applyFont="1" applyFill="1" applyAlignment="1">
      <alignment horizontal="center"/>
    </xf>
    <xf numFmtId="14" fontId="7" fillId="0" borderId="0" xfId="0" applyNumberFormat="1" applyFont="1" applyAlignment="1">
      <alignment vertical="center"/>
    </xf>
    <xf numFmtId="8" fontId="6" fillId="0" borderId="0" xfId="0" applyNumberFormat="1" applyFont="1" applyAlignment="1">
      <alignment horizontal="center"/>
    </xf>
    <xf numFmtId="8" fontId="7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8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8" fillId="5" borderId="5" xfId="0" applyFont="1" applyFill="1" applyBorder="1" applyAlignment="1">
      <alignment horizontal="center"/>
    </xf>
    <xf numFmtId="44" fontId="0" fillId="0" borderId="0" xfId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15" fontId="0" fillId="0" borderId="0" xfId="0" applyNumberFormat="1" applyAlignment="1">
      <alignment horizontal="center"/>
    </xf>
    <xf numFmtId="1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0" fillId="0" borderId="0" xfId="1" applyFont="1"/>
    <xf numFmtId="44" fontId="0" fillId="0" borderId="0" xfId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0" borderId="0" xfId="0" applyFont="1"/>
    <xf numFmtId="10" fontId="0" fillId="0" borderId="0" xfId="2" applyNumberFormat="1" applyFont="1"/>
    <xf numFmtId="44" fontId="0" fillId="0" borderId="0" xfId="1" applyFont="1" applyFill="1"/>
    <xf numFmtId="0" fontId="10" fillId="0" borderId="2" xfId="0" applyFont="1" applyBorder="1" applyAlignment="1">
      <alignment horizontal="justify" vertical="center"/>
    </xf>
    <xf numFmtId="164" fontId="10" fillId="0" borderId="2" xfId="0" applyNumberFormat="1" applyFont="1" applyBorder="1" applyAlignment="1">
      <alignment horizontal="justify" vertical="center"/>
    </xf>
    <xf numFmtId="22" fontId="10" fillId="0" borderId="2" xfId="0" applyNumberFormat="1" applyFont="1" applyBorder="1" applyAlignment="1">
      <alignment horizontal="justify" vertical="center"/>
    </xf>
    <xf numFmtId="0" fontId="5" fillId="0" borderId="0" xfId="0" applyFont="1" applyAlignment="1">
      <alignment horizontal="justify" vertical="center"/>
    </xf>
    <xf numFmtId="164" fontId="5" fillId="0" borderId="0" xfId="0" applyNumberFormat="1" applyFont="1" applyAlignment="1">
      <alignment horizontal="justify" vertical="center"/>
    </xf>
    <xf numFmtId="22" fontId="5" fillId="0" borderId="0" xfId="0" applyNumberFormat="1" applyFont="1" applyAlignment="1">
      <alignment horizontal="justify" vertical="center"/>
    </xf>
  </cellXfs>
  <cellStyles count="3">
    <cellStyle name="Moeda" xfId="1" builtinId="4"/>
    <cellStyle name="Normal" xfId="0" builtinId="0"/>
    <cellStyle name="Porcentagem" xfId="2" builtinId="5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numFmt numFmtId="27" formatCode="dd/mm/yyyy\ hh:mm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numFmt numFmtId="164" formatCode="_-\R\$\ * #,##0.00_-;\-\R\$\ * #,##0.00_-;_-\R\$\ * &quot; - &quot;??_-;_-@_-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rgb="FF94B3D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4040"/>
        <name val="Calibri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rgb="FFA2BDE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D365A"/>
        <name val="Calibri"/>
        <scheme val="none"/>
      </font>
      <numFmt numFmtId="30" formatCode="@"/>
      <fill>
        <patternFill patternType="solid">
          <fgColor indexed="64"/>
          <bgColor rgb="FFCDE2FC"/>
        </patternFill>
      </fill>
      <alignment horizontal="justify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20" formatCode="dd/mmm/yy"/>
      <alignment horizontal="center" vertical="bottom" textRotation="0" wrapText="0" indent="0" justifyLastLine="0" shrinkToFit="0" readingOrder="0"/>
    </dxf>
    <dxf>
      <numFmt numFmtId="20" formatCode="d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>
        <top style="thin">
          <color rgb="FF8EA9DB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04342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20" formatCode="dd/mmm/yy"/>
      <alignment horizontal="center" vertical="bottom" textRotation="0" wrapText="0" indent="0" justifyLastLine="0" shrinkToFit="0" readingOrder="0"/>
    </dxf>
    <dxf>
      <numFmt numFmtId="20" formatCode="d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>
        <top style="thin">
          <color rgb="FF8EA9DB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04342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  <numFmt numFmtId="20" formatCode="dd/mmm/yy"/>
      <alignment horizontal="center" vertical="bottom" textRotation="0" wrapText="0" indent="0" justifyLastLine="0" shrinkToFit="0" readingOrder="0"/>
    </dxf>
    <dxf>
      <numFmt numFmtId="20" formatCode="d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top style="thin">
          <color rgb="FF043424"/>
        </top>
      </border>
    </dxf>
    <dxf>
      <border diagonalUp="0" diagonalDown="0">
        <left style="thin">
          <color rgb="FF043424"/>
        </left>
        <right style="thin">
          <color rgb="FF043424"/>
        </right>
        <top style="thin">
          <color rgb="FF043424"/>
        </top>
        <bottom style="thin">
          <color rgb="FF04342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04342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</dxf>
    <dxf>
      <border outline="0">
        <top style="medium">
          <color rgb="FFCCCCCC"/>
        </top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bottom style="medium">
          <color rgb="FF000000"/>
        </bottom>
      </border>
    </dxf>
  </dxfs>
  <tableStyles count="3" defaultTableStyle="TableStyleMedium2" defaultPivotStyle="PivotStyleLight16">
    <tableStyle name="Estilo de Tabela 1" pivot="0" count="0" xr9:uid="{77AC90F2-918E-4BCE-B8B0-1EDDE21A377A}"/>
    <tableStyle name="Estilo de Tabela 2" pivot="0" count="0" xr9:uid="{D969864E-7397-4AD5-9EF5-BEB1D1CA9D08}"/>
    <tableStyle name="Estilo de Tabela Dinâmica 1" table="0" count="0" xr9:uid="{B88D7CFE-39AA-4971-B07A-9CC88787D6C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B5E02A-CC4C-4F97-AFCC-B37D60B43FD9}" name="Tabela1" displayName="Tabela1" ref="A1:N2809" totalsRowShown="0" headerRowBorderDxfId="51" tableBorderDxfId="50" totalsRowBorderDxfId="49" headerRowCellStyle="Normal" dataCellStyle="Normal">
  <autoFilter ref="A1:N2809" xr:uid="{6BB5E02A-CC4C-4F97-AFCC-B37D60B43FD9}"/>
  <tableColumns count="14">
    <tableColumn id="24" xr3:uid="{13D82176-3A17-46A1-8B05-469260B939CA}" name="Data"/>
    <tableColumn id="26" xr3:uid="{97CBAC81-E420-40EC-A623-1D5478A61FBC}" name="Semana" dataDxfId="48"/>
    <tableColumn id="23" xr3:uid="{AE8996F2-D8DA-4483-9EC4-B0BABB0E4800}" name="Contrato ativo"/>
    <tableColumn id="2" xr3:uid="{1439D953-A9CF-4EA2-86D8-DFDCE00C2DFF}" name="Situação de veículo" dataCellStyle="Normal"/>
    <tableColumn id="3" xr3:uid="{2D2D98AF-750D-41F6-ABA4-E04384907B0C}" name="Placa" dataCellStyle="Normal"/>
    <tableColumn id="4" xr3:uid="{44F148A5-2CA6-4CC2-AA93-0C9E05FD5EBB}" name="Modelo" dataCellStyle="Normal"/>
    <tableColumn id="5" xr3:uid="{9A26B688-8D59-4F12-A60C-B3FAE5AE9201}" name="Proprietário" dataCellStyle="Normal"/>
    <tableColumn id="6" xr3:uid="{B6DAB16C-26C1-4BD1-A653-DAF8340588F5}" name="Motorista" dataCellStyle="Normal"/>
    <tableColumn id="7" xr3:uid="{A71BB926-DF45-453E-ABEB-96B2F9BBC4E8}" name="Valor contrato" dataCellStyle="Moeda"/>
    <tableColumn id="8" xr3:uid="{94B74068-4BA6-4E6F-89CC-F64F24D0FD64}" name="Multa/atraso" dataCellStyle="Moeda"/>
    <tableColumn id="9" xr3:uid="{888136E6-3C0A-4867-B56D-1E0E0AF4B169}" name="Desconto" dataCellStyle="Moeda"/>
    <tableColumn id="10" xr3:uid="{0D40DC38-87B2-4D65-A051-65D78F7CDAB3}" name="Valor à Cobrar" dataCellStyle="Moeda"/>
    <tableColumn id="25" xr3:uid="{458724F5-004E-463A-8AFC-CA5C76698124}" name="Manutenção por motorista" dataCellStyle="Moeda"/>
    <tableColumn id="11" xr3:uid="{C205034F-2413-4F0C-9B42-7C2F7092B921}" name="Valor Pago (Semana)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2C2390-9C9B-4AC9-9544-B707BBBA25BC}" name="RECEITAS" displayName="RECEITAS" ref="A1:F60" totalsRowShown="0" headerRowDxfId="47" dataDxfId="45" headerRowBorderDxfId="46" tableBorderDxfId="44" totalsRowBorderDxfId="43">
  <autoFilter ref="A1:F60" xr:uid="{0E2C2390-9C9B-4AC9-9544-B707BBBA25BC}"/>
  <tableColumns count="6">
    <tableColumn id="2" xr3:uid="{5685059F-B4DE-4902-B28F-BCAF2D18EE0E}" name="Origem" dataDxfId="42"/>
    <tableColumn id="7" xr3:uid="{13287D65-14AC-4B55-A0EF-470C2A13731B}" name="Valor R$" dataDxfId="41" dataCellStyle="Moeda"/>
    <tableColumn id="16" xr3:uid="{70F199DF-495A-4F7A-8358-DE4F307BAE27}" name="Destino" dataDxfId="40" dataCellStyle="Moeda"/>
    <tableColumn id="13" xr3:uid="{6B1252A6-99AC-45F8-B4F6-FF2CF085B74B}" name="Data" dataDxfId="39"/>
    <tableColumn id="14" xr3:uid="{D5D6F972-4177-4F60-974D-1DE43DD7D92B}" name="Mês" dataDxfId="38">
      <calculatedColumnFormula>TEXT(RECEITAS[[#This Row],[Data]],"mmmm")</calculatedColumnFormula>
    </tableColumn>
    <tableColumn id="15" xr3:uid="{89AFB963-3169-4378-97B2-CA61C309B1A2}" name="Ano" dataDxfId="37">
      <calculatedColumnFormula>YEAR(RECEITAS[[#This Row],[Data]])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427BA2-D348-44FD-B7A8-21E2416479B2}" name="DESPESAS" displayName="DESPESAS" ref="A1:H55" totalsRowShown="0" headerRowDxfId="36" headerRowBorderDxfId="35" tableBorderDxfId="34" totalsRowBorderDxfId="33">
  <autoFilter ref="A1:H55" xr:uid="{4E427BA2-D348-44FD-B7A8-21E2416479B2}"/>
  <tableColumns count="8">
    <tableColumn id="17" xr3:uid="{E9302032-1DDE-4457-BCAF-CAE893D28E20}" name="Tipo de Gasto" dataDxfId="32"/>
    <tableColumn id="2" xr3:uid="{6066D683-8E92-4157-BA9F-75DDC9377BB5}" name="Detalhamento" dataDxfId="31"/>
    <tableColumn id="1" xr3:uid="{18F63D81-D1D4-4E50-AB04-0FDD7B7E321A}" name="Categoria" dataDxfId="30"/>
    <tableColumn id="7" xr3:uid="{D6BA23FC-B239-4956-BB8A-AC13DA7034CF}" name="Valor R$" dataDxfId="29" dataCellStyle="Moeda"/>
    <tableColumn id="16" xr3:uid="{360164D8-1629-495E-880C-DBDECA84B2A6}" name="Fonte" dataDxfId="28" dataCellStyle="Moeda"/>
    <tableColumn id="13" xr3:uid="{B01C3D9A-49A0-4DF1-A39A-B87CC72A7CC7}" name="Data" dataDxfId="27"/>
    <tableColumn id="14" xr3:uid="{0060FEB0-EBF9-4783-8134-3914881F4BBB}" name="Mês" dataDxfId="26">
      <calculatedColumnFormula>TEXT(DESPESAS[[#This Row],[Data]],"mmmm")</calculatedColumnFormula>
    </tableColumn>
    <tableColumn id="15" xr3:uid="{02A47BE8-A0C9-43BB-9A17-DFF36E25DEF2}" name="Ano" dataDxfId="25">
      <calculatedColumnFormula>YEAR(DESPESAS[[#This Row],[Data]])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C3B1CE5-8331-45F0-A4D3-A37D7F9E0967}" name="Tabela8" displayName="Tabela8" ref="A1:E14" totalsRowShown="0">
  <autoFilter ref="A1:E14" xr:uid="{7C3B1CE5-8331-45F0-A4D3-A37D7F9E0967}"/>
  <tableColumns count="5">
    <tableColumn id="1" xr3:uid="{E9AFD1CB-5B23-4332-87CA-9289B7445587}" name="Total Despesa"/>
    <tableColumn id="2" xr3:uid="{802276F6-BEA9-402E-BC8A-AC5545D30259}" name="Total Receita"/>
    <tableColumn id="3" xr3:uid="{0059069E-2234-4B42-88B6-F81AEEABA7B2}" name="Lucro"/>
    <tableColumn id="4" xr3:uid="{C16AFFC3-152E-42B6-B11F-B8B78BB8A525}" name="Porcentagem"/>
    <tableColumn id="5" xr3:uid="{C26CCBD6-C0B7-4802-AE93-8BA8742BE2BE}" name="Data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CD4FAA-4A9C-4A2F-86D0-F6A99E04056B}" name="INVEST8" displayName="INVEST8" ref="A1:F12" totalsRowShown="0" headerRowDxfId="24" headerRowBorderDxfId="23" tableBorderDxfId="22" totalsRowBorderDxfId="21">
  <autoFilter ref="A1:F12" xr:uid="{DBCD4FAA-4A9C-4A2F-86D0-F6A99E04056B}"/>
  <tableColumns count="6">
    <tableColumn id="17" xr3:uid="{7200B389-7E30-49A9-9A8F-F50119B8FB69}" name="Investimento" dataDxfId="20"/>
    <tableColumn id="7" xr3:uid="{F6E7996C-DFC0-466D-AE07-40B82C4C4E5D}" name="Valor R$" dataDxfId="19" dataCellStyle="Moeda"/>
    <tableColumn id="1" xr3:uid="{5F50D7E1-83C9-441E-BAF9-4F02B6D01773}" name="Fonte" dataDxfId="18" dataCellStyle="Moeda"/>
    <tableColumn id="13" xr3:uid="{5CCD858A-0A09-4568-82BB-CE6B069BC7EC}" name="Data" dataDxfId="17"/>
    <tableColumn id="14" xr3:uid="{4B82779B-91FC-4871-809C-6A971DB5C06E}" name="Mês" dataDxfId="16">
      <calculatedColumnFormula>TEXT(INVEST8[[#This Row],[Data]],"mmmm")</calculatedColumnFormula>
    </tableColumn>
    <tableColumn id="15" xr3:uid="{E28BD0E8-7CBA-4FD5-8832-DE2ED245EFC7}" name="Ano" dataDxfId="15">
      <calculatedColumnFormula>YEAR(INVEST8[[#This Row],[Data]])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C33518-7E2F-4DD3-8B07-D2189AD94073}" name="Tabela3" displayName="Tabela3" ref="A1:H139" totalsRowShown="0" headerRowDxfId="14" dataDxfId="12" headerRowBorderDxfId="13">
  <autoFilter ref="A1:H139" xr:uid="{60C33518-7E2F-4DD3-8B07-D2189AD94073}"/>
  <tableColumns count="8">
    <tableColumn id="1" xr3:uid="{7DB29B85-1269-4C7E-BAEB-E427A45F532A}" name="Órgão autuador" dataDxfId="11"/>
    <tableColumn id="2" xr3:uid="{2329409B-8089-44AA-8E70-9F300F32B9D3}" name="Condutor" dataDxfId="10"/>
    <tableColumn id="3" xr3:uid="{DE80B7CE-C44E-4024-93F8-4B98AB72ADF3}" name="Paga" dataDxfId="9"/>
    <tableColumn id="4" xr3:uid="{4F6E0B67-B39B-40A7-B0DA-5146DEE62ED3}" name="Valor" dataDxfId="8"/>
    <tableColumn id="5" xr3:uid="{EBE4D46F-3D89-4578-BEE7-6CC06630C5C2}" name="Placa" dataDxfId="7"/>
    <tableColumn id="6" xr3:uid="{89D00B21-2A3D-42BF-A793-348453A23B7D}" name="Auto de infração" dataDxfId="6"/>
    <tableColumn id="7" xr3:uid="{2DD3F44E-459A-47E7-A5D6-C39F4600186C}" name="Veículo" dataDxfId="5"/>
    <tableColumn id="8" xr3:uid="{522AF6BA-FBF8-4922-97C5-3E1D737E73A6}" name="Data da infração" dataDxfId="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9CC035-2261-4471-8C24-47C176CEECC4}" name="Tabela13" displayName="Tabela13" ref="A1:E11" totalsRowShown="0" headerRowDxfId="3" headerRowBorderDxfId="2">
  <autoFilter ref="A1:E11" xr:uid="{419CC035-2261-4471-8C24-47C176CEECC4}"/>
  <tableColumns count="5">
    <tableColumn id="1" xr3:uid="{B7A50992-DFC8-4BAB-8385-0FA794C34A9E}" name="PLACA" dataDxfId="1"/>
    <tableColumn id="2" xr3:uid="{6C5B6B4E-8228-4D88-83EC-D847F63D5C3B}" name="data Infração"/>
    <tableColumn id="3" xr3:uid="{6F1F4DCA-94E4-4035-9100-41F517E985B5}" name="data do pagamento"/>
    <tableColumn id="4" xr3:uid="{381BFCB0-17DE-4DC0-A432-990E2858FD8A}" name="VALOR"/>
    <tableColumn id="5" xr3:uid="{D98D0128-679E-4F55-869A-A068E5687FD0}" name="Pago par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01A-E140-4AAB-ABB8-A4BF3AA504D8}">
  <dimension ref="A1:N2809"/>
  <sheetViews>
    <sheetView showGridLines="0" topLeftCell="A2783" workbookViewId="0">
      <selection activeCell="G2814" sqref="G2814"/>
    </sheetView>
  </sheetViews>
  <sheetFormatPr defaultRowHeight="15" x14ac:dyDescent="0.25"/>
  <cols>
    <col min="1" max="2" width="24.28515625" customWidth="1"/>
    <col min="3" max="3" width="25.7109375" customWidth="1"/>
    <col min="4" max="4" width="21.85546875" customWidth="1"/>
    <col min="5" max="5" width="10.7109375" bestFit="1" customWidth="1"/>
    <col min="6" max="6" width="38.28515625" bestFit="1" customWidth="1"/>
    <col min="7" max="7" width="17.28515625" customWidth="1"/>
    <col min="8" max="8" width="24.42578125" customWidth="1"/>
    <col min="9" max="9" width="16.5703125" customWidth="1"/>
    <col min="10" max="10" width="14.7109375" style="37" customWidth="1"/>
    <col min="11" max="11" width="12.85546875" style="37" customWidth="1"/>
    <col min="12" max="12" width="16.7109375" style="37" customWidth="1"/>
    <col min="13" max="13" width="25.28515625" style="37" bestFit="1" customWidth="1"/>
    <col min="14" max="14" width="23.28515625" style="37" customWidth="1"/>
  </cols>
  <sheetData>
    <row r="1" spans="1:14" x14ac:dyDescent="0.25">
      <c r="A1" t="s">
        <v>545</v>
      </c>
      <c r="B1" t="s">
        <v>544</v>
      </c>
      <c r="C1" t="s">
        <v>540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s="37" t="s">
        <v>6</v>
      </c>
      <c r="K1" s="37" t="s">
        <v>7</v>
      </c>
      <c r="L1" s="37" t="s">
        <v>8</v>
      </c>
      <c r="M1" s="37" t="s">
        <v>543</v>
      </c>
      <c r="N1" s="37" t="s">
        <v>9</v>
      </c>
    </row>
    <row r="2" spans="1:14" x14ac:dyDescent="0.25">
      <c r="A2" s="1">
        <v>46049</v>
      </c>
      <c r="B2">
        <v>4</v>
      </c>
      <c r="C2" t="s">
        <v>541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s="37">
        <v>746.99</v>
      </c>
      <c r="K2" s="37">
        <v>1.99</v>
      </c>
      <c r="L2" s="37">
        <v>745</v>
      </c>
      <c r="N2" s="37">
        <v>745</v>
      </c>
    </row>
    <row r="3" spans="1:14" x14ac:dyDescent="0.25">
      <c r="A3" s="1">
        <v>46049</v>
      </c>
      <c r="B3">
        <v>4</v>
      </c>
      <c r="C3" t="s">
        <v>541</v>
      </c>
      <c r="D3" t="s">
        <v>10</v>
      </c>
      <c r="E3" t="s">
        <v>15</v>
      </c>
      <c r="F3" t="s">
        <v>16</v>
      </c>
      <c r="G3" t="s">
        <v>13</v>
      </c>
      <c r="H3" t="s">
        <v>17</v>
      </c>
      <c r="I3" s="37">
        <v>1251.99</v>
      </c>
      <c r="J3" s="37">
        <v>90</v>
      </c>
      <c r="K3" s="37">
        <v>0</v>
      </c>
      <c r="L3" s="37">
        <v>1341.99</v>
      </c>
      <c r="N3" s="37">
        <v>1342</v>
      </c>
    </row>
    <row r="4" spans="1:14" x14ac:dyDescent="0.25">
      <c r="A4" s="1">
        <v>46049</v>
      </c>
      <c r="B4">
        <v>4</v>
      </c>
      <c r="C4" t="s">
        <v>541</v>
      </c>
      <c r="D4" t="s">
        <v>10</v>
      </c>
      <c r="E4" t="s">
        <v>18</v>
      </c>
      <c r="F4" t="s">
        <v>12</v>
      </c>
      <c r="G4" t="s">
        <v>13</v>
      </c>
      <c r="H4" t="s">
        <v>19</v>
      </c>
      <c r="I4" s="37">
        <v>746.99</v>
      </c>
      <c r="K4" s="37">
        <v>1.99</v>
      </c>
      <c r="L4" s="37">
        <v>745</v>
      </c>
      <c r="N4" s="37">
        <v>745</v>
      </c>
    </row>
    <row r="5" spans="1:14" x14ac:dyDescent="0.25">
      <c r="A5" s="1">
        <v>46049</v>
      </c>
      <c r="B5">
        <v>4</v>
      </c>
      <c r="C5" t="s">
        <v>541</v>
      </c>
      <c r="D5" t="s">
        <v>10</v>
      </c>
      <c r="E5" t="s">
        <v>20</v>
      </c>
      <c r="F5" t="s">
        <v>21</v>
      </c>
      <c r="G5" t="s">
        <v>22</v>
      </c>
      <c r="H5" t="s">
        <v>23</v>
      </c>
      <c r="I5" s="37">
        <v>651.99</v>
      </c>
      <c r="L5" s="37">
        <v>651.99</v>
      </c>
    </row>
    <row r="6" spans="1:14" x14ac:dyDescent="0.25">
      <c r="A6" s="1">
        <v>46049</v>
      </c>
      <c r="B6">
        <v>4</v>
      </c>
      <c r="C6" t="s">
        <v>541</v>
      </c>
      <c r="D6" t="s">
        <v>10</v>
      </c>
      <c r="E6" t="s">
        <v>24</v>
      </c>
      <c r="F6" t="s">
        <v>25</v>
      </c>
      <c r="G6" t="s">
        <v>13</v>
      </c>
      <c r="H6" t="s">
        <v>26</v>
      </c>
      <c r="I6" s="37">
        <v>1450</v>
      </c>
      <c r="L6" s="37">
        <v>1450</v>
      </c>
      <c r="N6" s="37">
        <v>1450</v>
      </c>
    </row>
    <row r="7" spans="1:14" x14ac:dyDescent="0.25">
      <c r="A7" s="1">
        <v>46049</v>
      </c>
      <c r="B7">
        <v>4</v>
      </c>
      <c r="C7" t="s">
        <v>541</v>
      </c>
      <c r="D7" t="s">
        <v>10</v>
      </c>
      <c r="E7" t="s">
        <v>27</v>
      </c>
      <c r="F7" t="s">
        <v>28</v>
      </c>
      <c r="G7" t="s">
        <v>13</v>
      </c>
      <c r="H7" t="s">
        <v>29</v>
      </c>
      <c r="I7" s="37">
        <v>931.99</v>
      </c>
      <c r="K7" s="37">
        <v>1.99</v>
      </c>
      <c r="L7" s="37">
        <v>930</v>
      </c>
      <c r="N7" s="37">
        <v>930</v>
      </c>
    </row>
    <row r="8" spans="1:14" x14ac:dyDescent="0.25">
      <c r="A8" s="1">
        <v>46049</v>
      </c>
      <c r="B8">
        <v>4</v>
      </c>
      <c r="C8" t="s">
        <v>541</v>
      </c>
      <c r="D8" t="s">
        <v>10</v>
      </c>
      <c r="E8" t="s">
        <v>30</v>
      </c>
      <c r="F8" t="s">
        <v>28</v>
      </c>
      <c r="G8" t="s">
        <v>13</v>
      </c>
      <c r="H8" t="s">
        <v>31</v>
      </c>
      <c r="I8" s="37">
        <v>931.99</v>
      </c>
      <c r="K8" s="37">
        <v>1.99</v>
      </c>
      <c r="L8" s="37">
        <v>930</v>
      </c>
      <c r="N8" s="37">
        <v>930</v>
      </c>
    </row>
    <row r="9" spans="1:14" x14ac:dyDescent="0.25">
      <c r="A9" s="1">
        <v>46049</v>
      </c>
      <c r="B9">
        <v>4</v>
      </c>
      <c r="C9" t="s">
        <v>541</v>
      </c>
      <c r="D9" t="s">
        <v>10</v>
      </c>
      <c r="E9" t="s">
        <v>32</v>
      </c>
      <c r="F9" t="s">
        <v>33</v>
      </c>
      <c r="G9" t="s">
        <v>13</v>
      </c>
      <c r="H9" t="s">
        <v>31</v>
      </c>
      <c r="I9" s="37">
        <v>851.99</v>
      </c>
      <c r="J9" s="37">
        <v>0.01</v>
      </c>
      <c r="L9" s="37">
        <v>852</v>
      </c>
      <c r="N9" s="37">
        <v>852</v>
      </c>
    </row>
    <row r="10" spans="1:14" x14ac:dyDescent="0.25">
      <c r="A10" s="1">
        <v>46049</v>
      </c>
      <c r="B10">
        <v>4</v>
      </c>
      <c r="C10" t="s">
        <v>541</v>
      </c>
      <c r="D10" t="s">
        <v>10</v>
      </c>
      <c r="E10" t="s">
        <v>34</v>
      </c>
      <c r="F10" t="s">
        <v>33</v>
      </c>
      <c r="G10" t="s">
        <v>13</v>
      </c>
      <c r="H10" t="s">
        <v>35</v>
      </c>
      <c r="I10" s="37">
        <v>851.99</v>
      </c>
      <c r="J10" s="37">
        <v>120</v>
      </c>
      <c r="L10" s="37">
        <v>971.99</v>
      </c>
      <c r="N10" s="37">
        <v>760</v>
      </c>
    </row>
    <row r="11" spans="1:14" x14ac:dyDescent="0.25">
      <c r="A11" s="1">
        <v>46049</v>
      </c>
      <c r="B11">
        <v>4</v>
      </c>
      <c r="C11" t="s">
        <v>541</v>
      </c>
      <c r="D11" t="s">
        <v>10</v>
      </c>
      <c r="E11" t="s">
        <v>36</v>
      </c>
      <c r="F11" t="s">
        <v>37</v>
      </c>
      <c r="G11" t="s">
        <v>38</v>
      </c>
      <c r="H11" t="s">
        <v>39</v>
      </c>
      <c r="I11" s="37">
        <v>746.99</v>
      </c>
      <c r="K11" s="37">
        <v>1.99</v>
      </c>
      <c r="L11" s="37">
        <v>745</v>
      </c>
      <c r="N11" s="37">
        <v>745</v>
      </c>
    </row>
    <row r="12" spans="1:14" x14ac:dyDescent="0.25">
      <c r="A12" s="1">
        <v>46049</v>
      </c>
      <c r="B12">
        <v>4</v>
      </c>
      <c r="C12" t="s">
        <v>541</v>
      </c>
      <c r="D12" t="s">
        <v>10</v>
      </c>
      <c r="E12" t="s">
        <v>40</v>
      </c>
      <c r="F12" t="s">
        <v>41</v>
      </c>
      <c r="G12" t="s">
        <v>42</v>
      </c>
      <c r="H12" t="s">
        <v>43</v>
      </c>
      <c r="I12" s="37">
        <v>746.99</v>
      </c>
      <c r="K12" s="37">
        <v>1.99</v>
      </c>
      <c r="L12" s="37">
        <v>745</v>
      </c>
      <c r="N12" s="37">
        <v>745</v>
      </c>
    </row>
    <row r="13" spans="1:14" x14ac:dyDescent="0.25">
      <c r="A13" s="1">
        <v>46049</v>
      </c>
      <c r="B13">
        <v>4</v>
      </c>
      <c r="C13" t="s">
        <v>541</v>
      </c>
      <c r="D13" t="s">
        <v>10</v>
      </c>
      <c r="E13" t="s">
        <v>44</v>
      </c>
      <c r="F13" t="s">
        <v>12</v>
      </c>
      <c r="G13" t="s">
        <v>13</v>
      </c>
      <c r="H13" t="s">
        <v>45</v>
      </c>
      <c r="I13" s="37">
        <v>746.99</v>
      </c>
      <c r="L13" s="37">
        <v>746.99</v>
      </c>
      <c r="N13" s="37">
        <v>746.99</v>
      </c>
    </row>
    <row r="14" spans="1:14" x14ac:dyDescent="0.25">
      <c r="A14" s="1">
        <v>46049</v>
      </c>
      <c r="B14">
        <v>4</v>
      </c>
      <c r="C14" t="s">
        <v>541</v>
      </c>
      <c r="D14" t="s">
        <v>10</v>
      </c>
      <c r="E14" t="s">
        <v>46</v>
      </c>
      <c r="F14" t="s">
        <v>12</v>
      </c>
      <c r="G14" t="s">
        <v>13</v>
      </c>
      <c r="H14" t="s">
        <v>47</v>
      </c>
      <c r="I14" s="37">
        <v>746.99</v>
      </c>
      <c r="J14" s="37">
        <v>0.01</v>
      </c>
      <c r="L14" s="37">
        <v>747</v>
      </c>
      <c r="N14" s="37">
        <v>747</v>
      </c>
    </row>
    <row r="15" spans="1:14" x14ac:dyDescent="0.25">
      <c r="A15" s="1">
        <v>46049</v>
      </c>
      <c r="B15">
        <v>4</v>
      </c>
      <c r="C15" t="s">
        <v>541</v>
      </c>
      <c r="D15" t="s">
        <v>10</v>
      </c>
      <c r="E15" t="s">
        <v>49</v>
      </c>
      <c r="F15" t="s">
        <v>12</v>
      </c>
      <c r="G15" t="s">
        <v>13</v>
      </c>
      <c r="H15" t="s">
        <v>50</v>
      </c>
      <c r="I15" s="37">
        <v>746.99</v>
      </c>
      <c r="L15" s="37">
        <v>746.99</v>
      </c>
    </row>
    <row r="16" spans="1:14" x14ac:dyDescent="0.25">
      <c r="A16" s="1">
        <v>46049</v>
      </c>
      <c r="B16">
        <v>4</v>
      </c>
      <c r="C16" t="s">
        <v>541</v>
      </c>
      <c r="D16" t="s">
        <v>10</v>
      </c>
      <c r="E16" t="s">
        <v>51</v>
      </c>
      <c r="F16" t="s">
        <v>52</v>
      </c>
      <c r="G16" t="s">
        <v>13</v>
      </c>
      <c r="H16" t="s">
        <v>53</v>
      </c>
      <c r="I16" s="37">
        <v>1251.99</v>
      </c>
      <c r="K16" s="37">
        <v>178.58</v>
      </c>
      <c r="L16" s="37">
        <v>1073.4100000000001</v>
      </c>
      <c r="N16" s="37">
        <v>1073.4100000000001</v>
      </c>
    </row>
    <row r="17" spans="1:14" x14ac:dyDescent="0.25">
      <c r="A17" s="1">
        <v>46049</v>
      </c>
      <c r="B17">
        <v>4</v>
      </c>
      <c r="C17" t="s">
        <v>541</v>
      </c>
      <c r="D17" t="s">
        <v>10</v>
      </c>
      <c r="E17" t="s">
        <v>54</v>
      </c>
      <c r="F17" t="s">
        <v>55</v>
      </c>
      <c r="G17" t="s">
        <v>56</v>
      </c>
      <c r="H17" t="s">
        <v>57</v>
      </c>
      <c r="I17" s="37">
        <v>746.99</v>
      </c>
      <c r="L17" s="37">
        <v>746.99</v>
      </c>
      <c r="N17" s="37">
        <v>746.99</v>
      </c>
    </row>
    <row r="18" spans="1:14" x14ac:dyDescent="0.25">
      <c r="A18" s="1">
        <v>46049</v>
      </c>
      <c r="B18">
        <v>4</v>
      </c>
      <c r="C18" t="s">
        <v>541</v>
      </c>
      <c r="D18" t="s">
        <v>10</v>
      </c>
      <c r="E18" t="s">
        <v>58</v>
      </c>
      <c r="F18" t="s">
        <v>37</v>
      </c>
      <c r="G18" t="s">
        <v>38</v>
      </c>
      <c r="H18" t="s">
        <v>59</v>
      </c>
      <c r="I18" s="37">
        <v>746.99</v>
      </c>
      <c r="K18" s="37">
        <v>746.99</v>
      </c>
      <c r="L18" s="37">
        <v>0</v>
      </c>
    </row>
    <row r="19" spans="1:14" x14ac:dyDescent="0.25">
      <c r="A19" s="1">
        <v>46049</v>
      </c>
      <c r="B19">
        <v>4</v>
      </c>
      <c r="C19" t="s">
        <v>541</v>
      </c>
      <c r="D19" t="s">
        <v>10</v>
      </c>
      <c r="E19" t="s">
        <v>60</v>
      </c>
      <c r="F19" t="s">
        <v>52</v>
      </c>
      <c r="G19" t="s">
        <v>38</v>
      </c>
      <c r="H19" t="s">
        <v>61</v>
      </c>
      <c r="I19" s="37">
        <v>1251.99</v>
      </c>
      <c r="J19" s="37">
        <v>120</v>
      </c>
      <c r="L19" s="37">
        <v>1371.99</v>
      </c>
      <c r="N19" s="37">
        <v>1371.99</v>
      </c>
    </row>
    <row r="20" spans="1:14" x14ac:dyDescent="0.25">
      <c r="A20" s="1">
        <v>46049</v>
      </c>
      <c r="B20">
        <v>4</v>
      </c>
      <c r="C20" t="s">
        <v>541</v>
      </c>
      <c r="D20" t="s">
        <v>10</v>
      </c>
      <c r="E20" t="s">
        <v>62</v>
      </c>
      <c r="F20" t="s">
        <v>12</v>
      </c>
      <c r="G20" t="s">
        <v>13</v>
      </c>
      <c r="H20" t="s">
        <v>63</v>
      </c>
      <c r="I20" s="37">
        <v>746.99</v>
      </c>
      <c r="J20" s="37">
        <v>3.01</v>
      </c>
      <c r="L20" s="37">
        <v>750</v>
      </c>
      <c r="N20" s="37">
        <v>750</v>
      </c>
    </row>
    <row r="21" spans="1:14" x14ac:dyDescent="0.25">
      <c r="A21" s="1">
        <v>46049</v>
      </c>
      <c r="B21">
        <v>4</v>
      </c>
      <c r="C21" t="s">
        <v>541</v>
      </c>
      <c r="D21" t="s">
        <v>10</v>
      </c>
      <c r="E21" t="s">
        <v>64</v>
      </c>
      <c r="F21" t="s">
        <v>65</v>
      </c>
      <c r="G21" t="s">
        <v>66</v>
      </c>
      <c r="H21" t="s">
        <v>67</v>
      </c>
      <c r="I21" s="37">
        <v>1381.99</v>
      </c>
      <c r="J21" s="37">
        <v>30</v>
      </c>
      <c r="L21" s="37">
        <v>1411.99</v>
      </c>
      <c r="N21" s="37">
        <v>1411.99</v>
      </c>
    </row>
    <row r="22" spans="1:14" x14ac:dyDescent="0.25">
      <c r="A22" s="1">
        <v>46049</v>
      </c>
      <c r="B22">
        <v>4</v>
      </c>
      <c r="C22" t="s">
        <v>541</v>
      </c>
      <c r="D22" t="s">
        <v>10</v>
      </c>
      <c r="E22" t="s">
        <v>68</v>
      </c>
      <c r="F22" t="s">
        <v>69</v>
      </c>
      <c r="G22" t="s">
        <v>70</v>
      </c>
      <c r="H22" t="s">
        <v>71</v>
      </c>
      <c r="I22" s="37">
        <v>801.99</v>
      </c>
      <c r="K22" s="37">
        <v>343.71</v>
      </c>
      <c r="L22" s="37">
        <v>458.28</v>
      </c>
      <c r="N22" s="37">
        <v>458.28</v>
      </c>
    </row>
    <row r="23" spans="1:14" x14ac:dyDescent="0.25">
      <c r="A23" s="1">
        <v>46049</v>
      </c>
      <c r="B23">
        <v>4</v>
      </c>
      <c r="C23" t="s">
        <v>541</v>
      </c>
      <c r="D23" t="s">
        <v>10</v>
      </c>
      <c r="E23" t="s">
        <v>72</v>
      </c>
      <c r="F23" t="s">
        <v>73</v>
      </c>
      <c r="G23" t="s">
        <v>13</v>
      </c>
      <c r="H23" t="s">
        <v>74</v>
      </c>
      <c r="I23" s="37">
        <v>1850</v>
      </c>
      <c r="L23" s="37">
        <v>1850</v>
      </c>
      <c r="N23" s="37">
        <v>1850</v>
      </c>
    </row>
    <row r="24" spans="1:14" x14ac:dyDescent="0.25">
      <c r="A24" s="1">
        <v>46049</v>
      </c>
      <c r="B24">
        <v>4</v>
      </c>
      <c r="C24" t="s">
        <v>541</v>
      </c>
      <c r="D24" t="s">
        <v>10</v>
      </c>
      <c r="E24" t="s">
        <v>75</v>
      </c>
      <c r="F24" t="s">
        <v>76</v>
      </c>
      <c r="G24" t="s">
        <v>77</v>
      </c>
      <c r="H24" t="s">
        <v>78</v>
      </c>
      <c r="I24" s="37">
        <v>1451.99</v>
      </c>
      <c r="J24" s="37">
        <v>0.01</v>
      </c>
      <c r="L24" s="37">
        <v>1452</v>
      </c>
      <c r="M24" s="37">
        <v>35</v>
      </c>
      <c r="N24" s="37">
        <v>1452</v>
      </c>
    </row>
    <row r="25" spans="1:14" x14ac:dyDescent="0.25">
      <c r="A25" s="1">
        <v>46049</v>
      </c>
      <c r="B25">
        <v>4</v>
      </c>
      <c r="C25" t="s">
        <v>541</v>
      </c>
      <c r="D25" t="s">
        <v>10</v>
      </c>
      <c r="E25" t="s">
        <v>79</v>
      </c>
      <c r="F25" t="s">
        <v>76</v>
      </c>
      <c r="G25" t="s">
        <v>77</v>
      </c>
      <c r="H25" t="s">
        <v>80</v>
      </c>
      <c r="I25" s="37">
        <v>1451.99</v>
      </c>
      <c r="L25" s="37">
        <v>1451.99</v>
      </c>
      <c r="N25" s="37">
        <v>1451.99</v>
      </c>
    </row>
    <row r="26" spans="1:14" x14ac:dyDescent="0.25">
      <c r="A26" s="1">
        <v>46049</v>
      </c>
      <c r="B26">
        <v>4</v>
      </c>
      <c r="C26" t="s">
        <v>541</v>
      </c>
      <c r="D26" t="s">
        <v>10</v>
      </c>
      <c r="E26" t="s">
        <v>81</v>
      </c>
      <c r="F26" t="s">
        <v>12</v>
      </c>
      <c r="G26" t="s">
        <v>13</v>
      </c>
      <c r="H26" t="s">
        <v>82</v>
      </c>
      <c r="I26" s="37">
        <v>746.99</v>
      </c>
      <c r="J26" s="37">
        <v>30</v>
      </c>
      <c r="L26" s="37">
        <v>776.99</v>
      </c>
      <c r="N26" s="37">
        <v>776.99</v>
      </c>
    </row>
    <row r="27" spans="1:14" x14ac:dyDescent="0.25">
      <c r="A27" s="1">
        <v>46049</v>
      </c>
      <c r="B27">
        <v>4</v>
      </c>
      <c r="C27" t="s">
        <v>541</v>
      </c>
      <c r="D27" t="s">
        <v>10</v>
      </c>
      <c r="E27" t="s">
        <v>83</v>
      </c>
      <c r="F27" t="s">
        <v>41</v>
      </c>
      <c r="G27" t="s">
        <v>13</v>
      </c>
      <c r="H27" t="s">
        <v>84</v>
      </c>
      <c r="I27" s="37">
        <v>746.99</v>
      </c>
      <c r="K27" s="37">
        <v>1.99</v>
      </c>
      <c r="L27" s="37">
        <v>745</v>
      </c>
      <c r="N27" s="37">
        <v>745</v>
      </c>
    </row>
    <row r="28" spans="1:14" x14ac:dyDescent="0.25">
      <c r="A28" s="1">
        <v>46049</v>
      </c>
      <c r="B28">
        <v>4</v>
      </c>
      <c r="C28" t="s">
        <v>541</v>
      </c>
      <c r="D28" t="s">
        <v>10</v>
      </c>
      <c r="E28" t="s">
        <v>85</v>
      </c>
      <c r="F28" t="s">
        <v>28</v>
      </c>
      <c r="G28" t="s">
        <v>66</v>
      </c>
      <c r="H28" t="s">
        <v>86</v>
      </c>
      <c r="I28" s="37">
        <v>931.99</v>
      </c>
      <c r="J28" s="37">
        <v>90.86</v>
      </c>
      <c r="L28" s="37">
        <v>1022.85</v>
      </c>
      <c r="N28" s="37">
        <v>1022.85</v>
      </c>
    </row>
    <row r="29" spans="1:14" x14ac:dyDescent="0.25">
      <c r="A29" s="1">
        <v>46049</v>
      </c>
      <c r="B29">
        <v>4</v>
      </c>
      <c r="C29" t="s">
        <v>541</v>
      </c>
      <c r="D29" t="s">
        <v>10</v>
      </c>
      <c r="E29" t="s">
        <v>87</v>
      </c>
      <c r="F29" t="s">
        <v>28</v>
      </c>
      <c r="G29" t="s">
        <v>13</v>
      </c>
      <c r="H29" t="s">
        <v>88</v>
      </c>
      <c r="I29" s="37">
        <v>931.99</v>
      </c>
      <c r="K29" s="37">
        <v>1.99</v>
      </c>
      <c r="L29" s="37">
        <v>930</v>
      </c>
      <c r="N29" s="37">
        <v>930</v>
      </c>
    </row>
    <row r="30" spans="1:14" x14ac:dyDescent="0.25">
      <c r="A30" s="1">
        <v>46049</v>
      </c>
      <c r="B30">
        <v>4</v>
      </c>
      <c r="C30" t="s">
        <v>541</v>
      </c>
      <c r="D30" t="s">
        <v>10</v>
      </c>
      <c r="E30" t="s">
        <v>90</v>
      </c>
      <c r="F30" t="s">
        <v>91</v>
      </c>
      <c r="G30" t="s">
        <v>22</v>
      </c>
      <c r="H30" t="s">
        <v>92</v>
      </c>
      <c r="I30" s="37">
        <v>550</v>
      </c>
      <c r="L30" s="37">
        <v>550</v>
      </c>
    </row>
    <row r="31" spans="1:14" x14ac:dyDescent="0.25">
      <c r="A31" s="1">
        <v>46049</v>
      </c>
      <c r="B31">
        <v>4</v>
      </c>
      <c r="C31" t="s">
        <v>541</v>
      </c>
      <c r="D31" t="s">
        <v>10</v>
      </c>
      <c r="E31" t="s">
        <v>93</v>
      </c>
      <c r="F31" t="s">
        <v>94</v>
      </c>
      <c r="G31" t="s">
        <v>95</v>
      </c>
      <c r="H31" t="s">
        <v>96</v>
      </c>
      <c r="I31" s="37">
        <v>746.99</v>
      </c>
      <c r="J31" s="37">
        <v>30.01</v>
      </c>
      <c r="L31" s="37">
        <v>777</v>
      </c>
      <c r="N31" s="37">
        <v>777</v>
      </c>
    </row>
    <row r="32" spans="1:14" x14ac:dyDescent="0.25">
      <c r="A32" s="1">
        <v>46049</v>
      </c>
      <c r="B32">
        <v>4</v>
      </c>
      <c r="C32" t="s">
        <v>541</v>
      </c>
      <c r="D32" t="s">
        <v>10</v>
      </c>
      <c r="E32" t="s">
        <v>97</v>
      </c>
      <c r="F32" t="s">
        <v>33</v>
      </c>
      <c r="G32" t="s">
        <v>13</v>
      </c>
      <c r="H32" t="s">
        <v>98</v>
      </c>
      <c r="I32" s="37">
        <v>851.99</v>
      </c>
      <c r="L32" s="37">
        <v>896.99</v>
      </c>
      <c r="N32" s="37">
        <v>851.99</v>
      </c>
    </row>
    <row r="33" spans="1:14" x14ac:dyDescent="0.25">
      <c r="A33" s="1">
        <v>46049</v>
      </c>
      <c r="B33">
        <v>4</v>
      </c>
      <c r="C33" t="s">
        <v>542</v>
      </c>
      <c r="D33" t="s">
        <v>99</v>
      </c>
      <c r="E33" t="s">
        <v>100</v>
      </c>
      <c r="F33" t="s">
        <v>101</v>
      </c>
      <c r="G33" t="s">
        <v>13</v>
      </c>
      <c r="I33" s="37">
        <v>1251.99</v>
      </c>
      <c r="L33" s="37">
        <v>1251.99</v>
      </c>
    </row>
    <row r="34" spans="1:14" x14ac:dyDescent="0.25">
      <c r="A34" s="1">
        <v>46049</v>
      </c>
      <c r="B34">
        <v>4</v>
      </c>
      <c r="C34" t="s">
        <v>541</v>
      </c>
      <c r="D34" t="s">
        <v>10</v>
      </c>
      <c r="E34" t="s">
        <v>102</v>
      </c>
      <c r="F34" t="s">
        <v>103</v>
      </c>
      <c r="G34" t="s">
        <v>104</v>
      </c>
      <c r="H34" t="s">
        <v>105</v>
      </c>
      <c r="I34" s="37">
        <v>801.99</v>
      </c>
      <c r="J34" s="37">
        <v>60</v>
      </c>
      <c r="L34" s="37">
        <v>861.99</v>
      </c>
      <c r="N34" s="37">
        <v>861.99</v>
      </c>
    </row>
    <row r="35" spans="1:14" x14ac:dyDescent="0.25">
      <c r="A35" s="1">
        <v>46049</v>
      </c>
      <c r="B35">
        <v>4</v>
      </c>
      <c r="C35" t="s">
        <v>541</v>
      </c>
      <c r="D35" t="s">
        <v>10</v>
      </c>
      <c r="E35" t="s">
        <v>106</v>
      </c>
      <c r="F35" t="s">
        <v>12</v>
      </c>
      <c r="G35" t="s">
        <v>13</v>
      </c>
      <c r="H35" t="s">
        <v>107</v>
      </c>
      <c r="I35" s="37">
        <v>746.99</v>
      </c>
      <c r="K35" s="37">
        <v>746.99</v>
      </c>
      <c r="L35" s="37">
        <v>0</v>
      </c>
    </row>
    <row r="36" spans="1:14" x14ac:dyDescent="0.25">
      <c r="A36" s="1">
        <v>46049</v>
      </c>
      <c r="B36">
        <v>4</v>
      </c>
      <c r="C36" t="s">
        <v>541</v>
      </c>
      <c r="D36" t="s">
        <v>10</v>
      </c>
      <c r="E36" t="s">
        <v>108</v>
      </c>
      <c r="F36" t="s">
        <v>55</v>
      </c>
      <c r="G36" t="s">
        <v>104</v>
      </c>
      <c r="H36" t="s">
        <v>109</v>
      </c>
      <c r="I36" s="37">
        <v>746.99</v>
      </c>
      <c r="L36" s="37">
        <v>850</v>
      </c>
      <c r="N36" s="37">
        <v>746.99</v>
      </c>
    </row>
    <row r="37" spans="1:14" x14ac:dyDescent="0.25">
      <c r="A37" s="1">
        <v>46049</v>
      </c>
      <c r="B37">
        <v>4</v>
      </c>
      <c r="C37" t="s">
        <v>541</v>
      </c>
      <c r="D37" t="s">
        <v>10</v>
      </c>
      <c r="E37" t="s">
        <v>110</v>
      </c>
      <c r="F37" t="s">
        <v>55</v>
      </c>
      <c r="G37" t="s">
        <v>111</v>
      </c>
      <c r="H37" t="s">
        <v>112</v>
      </c>
      <c r="I37" s="37">
        <v>746.99</v>
      </c>
      <c r="J37" s="37">
        <v>30.01</v>
      </c>
      <c r="L37" s="37">
        <v>777</v>
      </c>
      <c r="N37" s="37">
        <v>777</v>
      </c>
    </row>
    <row r="38" spans="1:14" x14ac:dyDescent="0.25">
      <c r="A38" s="1">
        <v>46049</v>
      </c>
      <c r="B38">
        <v>4</v>
      </c>
      <c r="C38" t="s">
        <v>541</v>
      </c>
      <c r="D38" t="s">
        <v>10</v>
      </c>
      <c r="E38" t="s">
        <v>113</v>
      </c>
      <c r="F38" t="s">
        <v>12</v>
      </c>
      <c r="G38" t="s">
        <v>13</v>
      </c>
      <c r="H38" t="s">
        <v>114</v>
      </c>
      <c r="I38" s="37">
        <v>746.99</v>
      </c>
      <c r="K38" s="37">
        <v>1.99</v>
      </c>
      <c r="L38" s="37">
        <v>745</v>
      </c>
      <c r="N38" s="37">
        <v>745</v>
      </c>
    </row>
    <row r="39" spans="1:14" x14ac:dyDescent="0.25">
      <c r="A39" s="1">
        <v>46049</v>
      </c>
      <c r="B39">
        <v>4</v>
      </c>
      <c r="C39" t="s">
        <v>541</v>
      </c>
      <c r="D39" t="s">
        <v>10</v>
      </c>
      <c r="E39" t="s">
        <v>115</v>
      </c>
      <c r="F39" t="s">
        <v>116</v>
      </c>
      <c r="G39" t="s">
        <v>13</v>
      </c>
      <c r="H39" t="s">
        <v>117</v>
      </c>
      <c r="I39" s="37">
        <v>746.99</v>
      </c>
      <c r="L39" s="37">
        <v>1241.99</v>
      </c>
      <c r="N39" s="37">
        <v>746.99</v>
      </c>
    </row>
    <row r="40" spans="1:14" x14ac:dyDescent="0.25">
      <c r="A40" s="1">
        <v>46049</v>
      </c>
      <c r="B40">
        <v>4</v>
      </c>
      <c r="C40" t="s">
        <v>541</v>
      </c>
      <c r="D40" t="s">
        <v>10</v>
      </c>
      <c r="E40" t="s">
        <v>118</v>
      </c>
      <c r="F40" t="s">
        <v>119</v>
      </c>
      <c r="G40" t="s">
        <v>13</v>
      </c>
      <c r="H40" t="s">
        <v>120</v>
      </c>
      <c r="I40" s="37">
        <v>851.99</v>
      </c>
      <c r="J40" s="37">
        <v>30</v>
      </c>
      <c r="L40" s="37">
        <v>881.99</v>
      </c>
      <c r="N40" s="37">
        <v>881.99</v>
      </c>
    </row>
    <row r="41" spans="1:14" x14ac:dyDescent="0.25">
      <c r="A41" s="1">
        <v>46049</v>
      </c>
      <c r="B41">
        <v>4</v>
      </c>
      <c r="C41" t="s">
        <v>541</v>
      </c>
      <c r="D41" t="s">
        <v>10</v>
      </c>
      <c r="E41" t="s">
        <v>121</v>
      </c>
      <c r="F41" t="s">
        <v>52</v>
      </c>
      <c r="G41" t="s">
        <v>122</v>
      </c>
      <c r="H41" t="s">
        <v>123</v>
      </c>
      <c r="I41" s="37">
        <v>1251.99</v>
      </c>
      <c r="L41" s="37">
        <v>1251.99</v>
      </c>
      <c r="N41" s="37">
        <v>1251.99</v>
      </c>
    </row>
    <row r="42" spans="1:14" x14ac:dyDescent="0.25">
      <c r="A42" s="1">
        <v>46049</v>
      </c>
      <c r="B42">
        <v>4</v>
      </c>
      <c r="C42" t="s">
        <v>541</v>
      </c>
      <c r="D42" t="s">
        <v>10</v>
      </c>
      <c r="E42" t="s">
        <v>124</v>
      </c>
      <c r="F42" t="s">
        <v>52</v>
      </c>
      <c r="G42" t="s">
        <v>77</v>
      </c>
      <c r="H42" t="s">
        <v>125</v>
      </c>
      <c r="I42" s="37">
        <v>1251.99</v>
      </c>
      <c r="J42" s="37">
        <v>60</v>
      </c>
      <c r="L42" s="37">
        <v>1311.99</v>
      </c>
      <c r="N42" s="37">
        <v>1311.99</v>
      </c>
    </row>
    <row r="43" spans="1:14" x14ac:dyDescent="0.25">
      <c r="A43" s="1">
        <v>46049</v>
      </c>
      <c r="B43">
        <v>4</v>
      </c>
      <c r="C43" t="s">
        <v>541</v>
      </c>
      <c r="D43" t="s">
        <v>10</v>
      </c>
      <c r="E43" t="s">
        <v>126</v>
      </c>
      <c r="F43" t="s">
        <v>55</v>
      </c>
      <c r="G43" t="s">
        <v>56</v>
      </c>
      <c r="H43" t="s">
        <v>127</v>
      </c>
      <c r="I43" s="37">
        <v>746.99</v>
      </c>
      <c r="K43" s="37">
        <v>1.99</v>
      </c>
      <c r="L43" s="37">
        <v>745</v>
      </c>
      <c r="N43" s="37">
        <v>745</v>
      </c>
    </row>
    <row r="44" spans="1:14" x14ac:dyDescent="0.25">
      <c r="A44" s="1">
        <v>46049</v>
      </c>
      <c r="B44">
        <v>4</v>
      </c>
      <c r="C44" t="s">
        <v>541</v>
      </c>
      <c r="D44" t="s">
        <v>10</v>
      </c>
      <c r="E44" t="s">
        <v>128</v>
      </c>
      <c r="F44" t="s">
        <v>25</v>
      </c>
      <c r="G44" t="s">
        <v>13</v>
      </c>
      <c r="H44" t="s">
        <v>129</v>
      </c>
      <c r="I44" s="37">
        <v>1351.99</v>
      </c>
      <c r="J44" s="37">
        <v>10</v>
      </c>
      <c r="L44" s="37">
        <v>1361.99</v>
      </c>
      <c r="N44" s="37">
        <v>1361.99</v>
      </c>
    </row>
    <row r="45" spans="1:14" x14ac:dyDescent="0.25">
      <c r="A45" s="1">
        <v>46049</v>
      </c>
      <c r="B45">
        <v>4</v>
      </c>
      <c r="C45" t="s">
        <v>541</v>
      </c>
      <c r="D45" t="s">
        <v>10</v>
      </c>
      <c r="E45" t="s">
        <v>130</v>
      </c>
      <c r="F45" t="s">
        <v>28</v>
      </c>
      <c r="G45" t="s">
        <v>13</v>
      </c>
      <c r="H45" t="s">
        <v>131</v>
      </c>
      <c r="I45" s="37">
        <v>931.99</v>
      </c>
      <c r="J45" s="37">
        <v>90</v>
      </c>
      <c r="L45" s="37">
        <v>1021.99</v>
      </c>
      <c r="N45" s="37">
        <v>1021.99</v>
      </c>
    </row>
    <row r="46" spans="1:14" x14ac:dyDescent="0.25">
      <c r="A46" s="1">
        <v>46049</v>
      </c>
      <c r="B46">
        <v>4</v>
      </c>
      <c r="C46" t="s">
        <v>541</v>
      </c>
      <c r="D46" t="s">
        <v>10</v>
      </c>
      <c r="E46" t="s">
        <v>132</v>
      </c>
      <c r="F46" t="s">
        <v>76</v>
      </c>
      <c r="G46" t="s">
        <v>77</v>
      </c>
      <c r="H46" t="s">
        <v>133</v>
      </c>
      <c r="I46" s="37">
        <v>1451.99</v>
      </c>
      <c r="J46" s="37">
        <v>60</v>
      </c>
      <c r="L46" s="37">
        <v>1511.99</v>
      </c>
      <c r="N46" s="37">
        <v>1511.99</v>
      </c>
    </row>
    <row r="47" spans="1:14" x14ac:dyDescent="0.25">
      <c r="A47" s="1">
        <v>46049</v>
      </c>
      <c r="B47">
        <v>4</v>
      </c>
      <c r="C47" t="s">
        <v>541</v>
      </c>
      <c r="D47" t="s">
        <v>10</v>
      </c>
      <c r="E47" t="s">
        <v>134</v>
      </c>
      <c r="F47" t="s">
        <v>69</v>
      </c>
      <c r="G47" t="s">
        <v>38</v>
      </c>
      <c r="H47" t="s">
        <v>135</v>
      </c>
      <c r="I47" s="37">
        <v>746.99</v>
      </c>
      <c r="K47" s="37">
        <v>1.99</v>
      </c>
      <c r="L47" s="37">
        <v>745</v>
      </c>
      <c r="N47" s="37">
        <v>745</v>
      </c>
    </row>
    <row r="48" spans="1:14" x14ac:dyDescent="0.25">
      <c r="A48" s="1">
        <v>46049</v>
      </c>
      <c r="B48">
        <v>4</v>
      </c>
      <c r="C48" t="s">
        <v>542</v>
      </c>
      <c r="D48" t="s">
        <v>136</v>
      </c>
      <c r="E48" t="s">
        <v>137</v>
      </c>
      <c r="F48" t="s">
        <v>12</v>
      </c>
      <c r="G48" t="s">
        <v>13</v>
      </c>
      <c r="I48" s="37">
        <v>746.99</v>
      </c>
      <c r="L48" s="37">
        <v>746.99</v>
      </c>
      <c r="N48" s="37">
        <v>150</v>
      </c>
    </row>
    <row r="49" spans="1:14" x14ac:dyDescent="0.25">
      <c r="A49" s="1">
        <v>46049</v>
      </c>
      <c r="B49">
        <v>4</v>
      </c>
      <c r="C49" t="s">
        <v>541</v>
      </c>
      <c r="D49" t="s">
        <v>10</v>
      </c>
      <c r="E49" t="s">
        <v>138</v>
      </c>
      <c r="F49" t="s">
        <v>12</v>
      </c>
      <c r="G49" t="s">
        <v>13</v>
      </c>
      <c r="H49" t="s">
        <v>139</v>
      </c>
      <c r="I49" s="37">
        <v>746.99</v>
      </c>
      <c r="J49" s="37">
        <v>30.01</v>
      </c>
      <c r="L49" s="37">
        <v>777</v>
      </c>
      <c r="N49" s="37">
        <v>777</v>
      </c>
    </row>
    <row r="50" spans="1:14" x14ac:dyDescent="0.25">
      <c r="A50" s="1">
        <v>46049</v>
      </c>
      <c r="B50">
        <v>4</v>
      </c>
      <c r="C50" t="s">
        <v>541</v>
      </c>
      <c r="D50" t="s">
        <v>10</v>
      </c>
      <c r="E50" t="s">
        <v>140</v>
      </c>
      <c r="F50" t="s">
        <v>28</v>
      </c>
      <c r="G50" t="s">
        <v>13</v>
      </c>
      <c r="H50" t="s">
        <v>141</v>
      </c>
      <c r="I50" s="37">
        <v>931.99</v>
      </c>
      <c r="L50" s="37">
        <v>931.99</v>
      </c>
      <c r="N50" s="37">
        <v>931.99</v>
      </c>
    </row>
    <row r="51" spans="1:14" x14ac:dyDescent="0.25">
      <c r="A51" s="1">
        <v>46049</v>
      </c>
      <c r="B51">
        <v>4</v>
      </c>
      <c r="C51" t="s">
        <v>541</v>
      </c>
      <c r="D51" t="s">
        <v>10</v>
      </c>
      <c r="E51" t="s">
        <v>142</v>
      </c>
      <c r="F51" t="s">
        <v>55</v>
      </c>
      <c r="G51" t="s">
        <v>95</v>
      </c>
      <c r="H51" t="s">
        <v>143</v>
      </c>
      <c r="I51" s="37">
        <v>746.99</v>
      </c>
      <c r="L51" s="37">
        <v>746.99</v>
      </c>
      <c r="N51" s="37">
        <v>746.99</v>
      </c>
    </row>
    <row r="52" spans="1:14" x14ac:dyDescent="0.25">
      <c r="A52" s="1">
        <v>46049</v>
      </c>
      <c r="B52">
        <v>4</v>
      </c>
      <c r="C52" t="s">
        <v>541</v>
      </c>
      <c r="D52" t="s">
        <v>10</v>
      </c>
      <c r="E52" t="s">
        <v>144</v>
      </c>
      <c r="F52" t="s">
        <v>145</v>
      </c>
      <c r="G52" t="s">
        <v>66</v>
      </c>
      <c r="H52" t="s">
        <v>146</v>
      </c>
      <c r="I52" s="37">
        <v>1351.99</v>
      </c>
      <c r="J52" s="37">
        <v>0.01</v>
      </c>
      <c r="L52" s="37">
        <v>1352</v>
      </c>
      <c r="N52" s="37">
        <v>1352</v>
      </c>
    </row>
    <row r="53" spans="1:14" x14ac:dyDescent="0.25">
      <c r="A53" s="1">
        <v>46049</v>
      </c>
      <c r="B53">
        <v>4</v>
      </c>
      <c r="C53" t="s">
        <v>541</v>
      </c>
      <c r="D53" t="s">
        <v>10</v>
      </c>
      <c r="E53" t="s">
        <v>147</v>
      </c>
      <c r="F53" t="s">
        <v>33</v>
      </c>
      <c r="G53" t="s">
        <v>13</v>
      </c>
      <c r="H53" t="s">
        <v>148</v>
      </c>
      <c r="I53" s="37">
        <v>851.99</v>
      </c>
      <c r="L53" s="37">
        <v>851.99</v>
      </c>
      <c r="N53" s="37">
        <v>851.99</v>
      </c>
    </row>
    <row r="54" spans="1:14" x14ac:dyDescent="0.25">
      <c r="A54" s="1">
        <v>46049</v>
      </c>
      <c r="B54">
        <v>4</v>
      </c>
      <c r="C54" t="s">
        <v>541</v>
      </c>
      <c r="D54" t="s">
        <v>10</v>
      </c>
      <c r="E54" t="s">
        <v>149</v>
      </c>
      <c r="F54" t="s">
        <v>33</v>
      </c>
      <c r="G54" t="s">
        <v>13</v>
      </c>
      <c r="H54" t="s">
        <v>150</v>
      </c>
      <c r="I54" s="37">
        <v>851.99</v>
      </c>
      <c r="J54" s="37">
        <v>60.01</v>
      </c>
      <c r="L54" s="37">
        <v>912</v>
      </c>
      <c r="N54" s="37">
        <v>912</v>
      </c>
    </row>
    <row r="55" spans="1:14" x14ac:dyDescent="0.25">
      <c r="A55" s="1">
        <v>46049</v>
      </c>
      <c r="B55">
        <v>4</v>
      </c>
      <c r="C55" t="s">
        <v>541</v>
      </c>
      <c r="D55" t="s">
        <v>10</v>
      </c>
      <c r="E55" t="s">
        <v>151</v>
      </c>
      <c r="F55" t="s">
        <v>33</v>
      </c>
      <c r="G55" t="s">
        <v>38</v>
      </c>
      <c r="H55" t="s">
        <v>152</v>
      </c>
      <c r="I55" s="37">
        <v>851.99</v>
      </c>
      <c r="L55" s="37">
        <v>851.99</v>
      </c>
      <c r="N55" s="37">
        <v>851.99</v>
      </c>
    </row>
    <row r="56" spans="1:14" x14ac:dyDescent="0.25">
      <c r="A56" s="1">
        <v>46049</v>
      </c>
      <c r="B56">
        <v>4</v>
      </c>
      <c r="C56" t="s">
        <v>541</v>
      </c>
      <c r="D56" t="s">
        <v>10</v>
      </c>
      <c r="E56" t="s">
        <v>153</v>
      </c>
      <c r="F56" t="s">
        <v>12</v>
      </c>
      <c r="G56" t="s">
        <v>13</v>
      </c>
      <c r="H56" t="s">
        <v>154</v>
      </c>
      <c r="I56" s="37">
        <v>746.99</v>
      </c>
      <c r="J56" s="37">
        <v>10</v>
      </c>
      <c r="K56" s="37">
        <v>1.99</v>
      </c>
      <c r="L56" s="37">
        <v>1250</v>
      </c>
      <c r="N56" s="37">
        <v>755</v>
      </c>
    </row>
    <row r="57" spans="1:14" x14ac:dyDescent="0.25">
      <c r="A57" s="1">
        <v>46049</v>
      </c>
      <c r="B57">
        <v>4</v>
      </c>
      <c r="C57" t="s">
        <v>541</v>
      </c>
      <c r="D57" t="s">
        <v>10</v>
      </c>
      <c r="E57" t="s">
        <v>155</v>
      </c>
      <c r="F57" t="s">
        <v>33</v>
      </c>
      <c r="G57" t="s">
        <v>38</v>
      </c>
      <c r="H57" t="s">
        <v>156</v>
      </c>
      <c r="I57" s="37">
        <v>851.99</v>
      </c>
      <c r="J57" s="37">
        <v>150</v>
      </c>
      <c r="L57" s="37">
        <v>1001.99</v>
      </c>
      <c r="N57" s="37">
        <v>1001.99</v>
      </c>
    </row>
    <row r="58" spans="1:14" x14ac:dyDescent="0.25">
      <c r="A58" s="1">
        <v>46049</v>
      </c>
      <c r="B58">
        <v>4</v>
      </c>
      <c r="C58" t="s">
        <v>541</v>
      </c>
      <c r="D58" t="s">
        <v>10</v>
      </c>
      <c r="E58" t="s">
        <v>157</v>
      </c>
      <c r="F58" t="s">
        <v>158</v>
      </c>
      <c r="G58" t="s">
        <v>111</v>
      </c>
      <c r="H58" t="s">
        <v>159</v>
      </c>
      <c r="I58" s="37">
        <v>746.99</v>
      </c>
      <c r="J58" s="37">
        <v>63.01</v>
      </c>
      <c r="L58" s="37">
        <v>810</v>
      </c>
      <c r="N58" s="37">
        <v>810</v>
      </c>
    </row>
    <row r="59" spans="1:14" x14ac:dyDescent="0.25">
      <c r="A59" s="1">
        <v>46049</v>
      </c>
      <c r="B59">
        <v>4</v>
      </c>
      <c r="C59" t="s">
        <v>541</v>
      </c>
      <c r="D59" t="s">
        <v>10</v>
      </c>
      <c r="E59" t="s">
        <v>160</v>
      </c>
      <c r="F59" t="s">
        <v>158</v>
      </c>
      <c r="G59" t="s">
        <v>22</v>
      </c>
      <c r="H59" t="s">
        <v>161</v>
      </c>
      <c r="I59" s="37">
        <v>746.99</v>
      </c>
      <c r="J59" s="37">
        <v>59.01</v>
      </c>
      <c r="L59" s="37">
        <v>806</v>
      </c>
      <c r="N59" s="37">
        <v>806</v>
      </c>
    </row>
    <row r="60" spans="1:14" x14ac:dyDescent="0.25">
      <c r="A60" s="1">
        <v>46049</v>
      </c>
      <c r="B60">
        <v>4</v>
      </c>
      <c r="C60" t="s">
        <v>541</v>
      </c>
      <c r="D60" t="s">
        <v>10</v>
      </c>
      <c r="E60" t="s">
        <v>162</v>
      </c>
      <c r="F60" t="s">
        <v>158</v>
      </c>
      <c r="G60" t="s">
        <v>104</v>
      </c>
      <c r="H60" t="s">
        <v>163</v>
      </c>
      <c r="I60" s="37">
        <v>746.99</v>
      </c>
      <c r="L60" s="37">
        <v>746.99</v>
      </c>
      <c r="N60" s="37">
        <v>746.99</v>
      </c>
    </row>
    <row r="61" spans="1:14" x14ac:dyDescent="0.25">
      <c r="A61" s="1">
        <v>46049</v>
      </c>
      <c r="B61">
        <v>4</v>
      </c>
      <c r="C61" t="s">
        <v>541</v>
      </c>
      <c r="D61" t="s">
        <v>10</v>
      </c>
      <c r="E61" t="s">
        <v>164</v>
      </c>
      <c r="F61" t="s">
        <v>12</v>
      </c>
      <c r="G61" t="s">
        <v>13</v>
      </c>
      <c r="H61" t="s">
        <v>165</v>
      </c>
      <c r="I61" s="37">
        <v>746.99</v>
      </c>
      <c r="L61" s="37">
        <v>746.99</v>
      </c>
      <c r="N61" s="37">
        <v>746.99</v>
      </c>
    </row>
    <row r="62" spans="1:14" x14ac:dyDescent="0.25">
      <c r="A62" s="1">
        <v>46049</v>
      </c>
      <c r="B62">
        <v>4</v>
      </c>
      <c r="C62" t="s">
        <v>541</v>
      </c>
      <c r="D62" t="s">
        <v>10</v>
      </c>
      <c r="E62" t="s">
        <v>166</v>
      </c>
      <c r="F62" t="s">
        <v>12</v>
      </c>
      <c r="G62" t="s">
        <v>13</v>
      </c>
      <c r="H62" t="s">
        <v>167</v>
      </c>
      <c r="I62" s="37">
        <v>746.99</v>
      </c>
      <c r="K62" s="37">
        <v>1.99</v>
      </c>
      <c r="L62" s="37">
        <v>745</v>
      </c>
      <c r="N62" s="37">
        <v>745</v>
      </c>
    </row>
    <row r="63" spans="1:14" x14ac:dyDescent="0.25">
      <c r="A63" s="1">
        <v>46049</v>
      </c>
      <c r="B63">
        <v>4</v>
      </c>
      <c r="C63" t="s">
        <v>541</v>
      </c>
      <c r="D63" t="s">
        <v>10</v>
      </c>
      <c r="E63" t="s">
        <v>168</v>
      </c>
      <c r="F63" t="s">
        <v>69</v>
      </c>
      <c r="G63" t="s">
        <v>169</v>
      </c>
      <c r="H63" t="s">
        <v>170</v>
      </c>
      <c r="I63" s="37">
        <v>746.99</v>
      </c>
      <c r="L63" s="37">
        <v>746.99</v>
      </c>
      <c r="N63" s="37">
        <v>746.99</v>
      </c>
    </row>
    <row r="64" spans="1:14" x14ac:dyDescent="0.25">
      <c r="A64" s="1">
        <v>46049</v>
      </c>
      <c r="B64">
        <v>4</v>
      </c>
      <c r="C64" t="s">
        <v>541</v>
      </c>
      <c r="D64" t="s">
        <v>10</v>
      </c>
      <c r="E64" t="s">
        <v>171</v>
      </c>
      <c r="F64" t="s">
        <v>52</v>
      </c>
      <c r="G64" t="s">
        <v>13</v>
      </c>
      <c r="H64" t="s">
        <v>172</v>
      </c>
      <c r="I64" s="37">
        <v>1251.99</v>
      </c>
      <c r="L64" s="37">
        <v>1251.99</v>
      </c>
      <c r="N64" s="37">
        <v>1251.99</v>
      </c>
    </row>
    <row r="65" spans="1:14" x14ac:dyDescent="0.25">
      <c r="A65" s="1">
        <v>46049</v>
      </c>
      <c r="B65">
        <v>4</v>
      </c>
      <c r="C65" t="s">
        <v>541</v>
      </c>
      <c r="D65" t="s">
        <v>10</v>
      </c>
      <c r="E65" t="s">
        <v>173</v>
      </c>
      <c r="F65" t="s">
        <v>52</v>
      </c>
      <c r="G65" t="s">
        <v>77</v>
      </c>
      <c r="H65" t="s">
        <v>174</v>
      </c>
      <c r="I65" s="37">
        <v>1251.99</v>
      </c>
      <c r="J65" s="37">
        <v>60</v>
      </c>
      <c r="L65" s="37">
        <v>1311.99</v>
      </c>
      <c r="M65" s="37">
        <v>15</v>
      </c>
    </row>
    <row r="66" spans="1:14" x14ac:dyDescent="0.25">
      <c r="A66" s="1">
        <v>46049</v>
      </c>
      <c r="B66">
        <v>4</v>
      </c>
      <c r="C66" t="s">
        <v>541</v>
      </c>
      <c r="D66" t="s">
        <v>10</v>
      </c>
      <c r="E66" t="s">
        <v>175</v>
      </c>
      <c r="F66" t="s">
        <v>52</v>
      </c>
      <c r="G66" t="s">
        <v>77</v>
      </c>
      <c r="H66" t="s">
        <v>176</v>
      </c>
      <c r="I66" s="37">
        <v>1251.99</v>
      </c>
      <c r="L66" s="37">
        <v>1251.99</v>
      </c>
      <c r="N66" s="37">
        <v>1251.99</v>
      </c>
    </row>
    <row r="67" spans="1:14" x14ac:dyDescent="0.25">
      <c r="A67" s="1">
        <v>46049</v>
      </c>
      <c r="B67">
        <v>4</v>
      </c>
      <c r="C67" t="s">
        <v>541</v>
      </c>
      <c r="D67" t="s">
        <v>10</v>
      </c>
      <c r="E67" t="s">
        <v>177</v>
      </c>
      <c r="F67" t="s">
        <v>178</v>
      </c>
      <c r="G67" t="s">
        <v>13</v>
      </c>
      <c r="H67" t="s">
        <v>179</v>
      </c>
      <c r="I67" s="37">
        <v>851.99</v>
      </c>
      <c r="J67" s="37">
        <v>0.01</v>
      </c>
      <c r="L67" s="37">
        <v>852</v>
      </c>
      <c r="N67" s="37">
        <v>852</v>
      </c>
    </row>
    <row r="68" spans="1:14" x14ac:dyDescent="0.25">
      <c r="A68" s="1">
        <v>46049</v>
      </c>
      <c r="B68">
        <v>4</v>
      </c>
      <c r="C68" t="s">
        <v>541</v>
      </c>
      <c r="D68" t="s">
        <v>10</v>
      </c>
      <c r="E68" t="s">
        <v>180</v>
      </c>
      <c r="F68" t="s">
        <v>52</v>
      </c>
      <c r="G68" t="s">
        <v>38</v>
      </c>
      <c r="H68" t="s">
        <v>181</v>
      </c>
      <c r="I68" s="37">
        <v>1251.99</v>
      </c>
      <c r="L68" s="37">
        <v>1251.99</v>
      </c>
      <c r="N68" s="37">
        <v>1251.99</v>
      </c>
    </row>
    <row r="69" spans="1:14" x14ac:dyDescent="0.25">
      <c r="A69" s="1">
        <v>46049</v>
      </c>
      <c r="B69">
        <v>4</v>
      </c>
      <c r="C69" t="s">
        <v>541</v>
      </c>
      <c r="D69" t="s">
        <v>10</v>
      </c>
      <c r="E69" t="s">
        <v>182</v>
      </c>
      <c r="F69" t="s">
        <v>25</v>
      </c>
      <c r="G69" t="s">
        <v>183</v>
      </c>
      <c r="H69" t="s">
        <v>184</v>
      </c>
      <c r="I69" s="37">
        <v>1251.99</v>
      </c>
      <c r="K69" s="37">
        <v>1.99</v>
      </c>
      <c r="L69" s="37">
        <v>1250</v>
      </c>
      <c r="N69" s="37">
        <v>1250</v>
      </c>
    </row>
    <row r="70" spans="1:14" x14ac:dyDescent="0.25">
      <c r="A70" s="1">
        <v>46049</v>
      </c>
      <c r="B70">
        <v>4</v>
      </c>
      <c r="C70" t="s">
        <v>541</v>
      </c>
      <c r="D70" t="s">
        <v>10</v>
      </c>
      <c r="E70" t="s">
        <v>185</v>
      </c>
      <c r="F70" t="s">
        <v>12</v>
      </c>
      <c r="G70" t="s">
        <v>13</v>
      </c>
      <c r="H70" t="s">
        <v>186</v>
      </c>
      <c r="I70" s="37">
        <v>746.99</v>
      </c>
      <c r="L70" s="37">
        <v>746.99</v>
      </c>
      <c r="N70" s="37">
        <v>746</v>
      </c>
    </row>
    <row r="71" spans="1:14" x14ac:dyDescent="0.25">
      <c r="A71" s="1">
        <v>46049</v>
      </c>
      <c r="B71">
        <v>4</v>
      </c>
      <c r="C71" t="s">
        <v>541</v>
      </c>
      <c r="D71" t="s">
        <v>10</v>
      </c>
      <c r="E71" t="s">
        <v>187</v>
      </c>
      <c r="F71" t="s">
        <v>12</v>
      </c>
      <c r="G71" t="s">
        <v>13</v>
      </c>
      <c r="H71" t="s">
        <v>188</v>
      </c>
      <c r="I71" s="37">
        <v>746.99</v>
      </c>
      <c r="J71" s="37">
        <v>0.01</v>
      </c>
      <c r="L71" s="37">
        <v>747</v>
      </c>
      <c r="N71" s="37">
        <v>747</v>
      </c>
    </row>
    <row r="72" spans="1:14" x14ac:dyDescent="0.25">
      <c r="A72" s="1">
        <v>46049</v>
      </c>
      <c r="B72">
        <v>4</v>
      </c>
      <c r="C72" t="s">
        <v>541</v>
      </c>
      <c r="D72" t="s">
        <v>10</v>
      </c>
      <c r="E72" t="s">
        <v>189</v>
      </c>
      <c r="F72" t="s">
        <v>12</v>
      </c>
      <c r="G72" t="s">
        <v>13</v>
      </c>
      <c r="H72" t="s">
        <v>190</v>
      </c>
      <c r="I72" s="37">
        <v>746.99</v>
      </c>
      <c r="K72" s="37">
        <v>212.86</v>
      </c>
      <c r="L72" s="37">
        <v>534.13</v>
      </c>
      <c r="N72" s="37">
        <v>534.13</v>
      </c>
    </row>
    <row r="73" spans="1:14" x14ac:dyDescent="0.25">
      <c r="A73" s="1">
        <v>46049</v>
      </c>
      <c r="B73">
        <v>4</v>
      </c>
      <c r="C73" t="s">
        <v>541</v>
      </c>
      <c r="D73" t="s">
        <v>10</v>
      </c>
      <c r="E73" t="s">
        <v>191</v>
      </c>
      <c r="F73" t="s">
        <v>55</v>
      </c>
      <c r="G73" t="s">
        <v>13</v>
      </c>
      <c r="H73" t="s">
        <v>192</v>
      </c>
      <c r="I73" s="37">
        <v>746.99</v>
      </c>
      <c r="K73" s="37">
        <v>1.99</v>
      </c>
      <c r="L73" s="37">
        <v>745</v>
      </c>
      <c r="N73" s="37">
        <v>745</v>
      </c>
    </row>
    <row r="74" spans="1:14" x14ac:dyDescent="0.25">
      <c r="A74" s="1">
        <v>46049</v>
      </c>
      <c r="B74">
        <v>4</v>
      </c>
      <c r="C74" t="s">
        <v>541</v>
      </c>
      <c r="D74" t="s">
        <v>10</v>
      </c>
      <c r="E74" t="s">
        <v>193</v>
      </c>
      <c r="F74" t="s">
        <v>12</v>
      </c>
      <c r="G74" t="s">
        <v>13</v>
      </c>
      <c r="H74" t="s">
        <v>194</v>
      </c>
      <c r="I74" s="37">
        <v>746.99</v>
      </c>
      <c r="K74" s="37">
        <v>107.99</v>
      </c>
      <c r="L74" s="37">
        <v>639</v>
      </c>
      <c r="N74" s="37">
        <v>639</v>
      </c>
    </row>
    <row r="75" spans="1:14" x14ac:dyDescent="0.25">
      <c r="A75" s="1">
        <v>46049</v>
      </c>
      <c r="B75">
        <v>4</v>
      </c>
      <c r="C75" t="s">
        <v>541</v>
      </c>
      <c r="D75" t="s">
        <v>10</v>
      </c>
      <c r="E75" t="s">
        <v>195</v>
      </c>
      <c r="F75" t="s">
        <v>196</v>
      </c>
      <c r="G75" t="s">
        <v>22</v>
      </c>
      <c r="H75" t="s">
        <v>197</v>
      </c>
      <c r="I75" s="37">
        <v>680</v>
      </c>
      <c r="K75" s="37">
        <v>291.42</v>
      </c>
      <c r="L75" s="37">
        <v>388.58</v>
      </c>
      <c r="N75" s="37">
        <v>388.58</v>
      </c>
    </row>
    <row r="76" spans="1:14" x14ac:dyDescent="0.25">
      <c r="A76" s="1">
        <v>46049</v>
      </c>
      <c r="B76">
        <v>4</v>
      </c>
      <c r="C76" t="s">
        <v>541</v>
      </c>
      <c r="D76" t="s">
        <v>10</v>
      </c>
      <c r="E76" t="s">
        <v>198</v>
      </c>
      <c r="F76" t="s">
        <v>199</v>
      </c>
      <c r="G76" t="s">
        <v>38</v>
      </c>
      <c r="H76" t="s">
        <v>200</v>
      </c>
      <c r="I76" s="37">
        <v>746.99</v>
      </c>
      <c r="L76" s="37">
        <v>746.99</v>
      </c>
      <c r="N76" s="37">
        <v>746.99</v>
      </c>
    </row>
    <row r="77" spans="1:14" x14ac:dyDescent="0.25">
      <c r="A77" s="1">
        <v>46049</v>
      </c>
      <c r="B77">
        <v>4</v>
      </c>
      <c r="C77" t="s">
        <v>541</v>
      </c>
      <c r="D77" t="s">
        <v>10</v>
      </c>
      <c r="E77" t="s">
        <v>201</v>
      </c>
      <c r="F77" t="s">
        <v>202</v>
      </c>
      <c r="G77" t="s">
        <v>56</v>
      </c>
      <c r="H77" t="s">
        <v>203</v>
      </c>
      <c r="I77" s="37">
        <v>831.99</v>
      </c>
      <c r="L77" s="37">
        <v>831.99</v>
      </c>
      <c r="N77" s="37">
        <v>831.99</v>
      </c>
    </row>
    <row r="78" spans="1:14" x14ac:dyDescent="0.25">
      <c r="A78" s="1">
        <v>46049</v>
      </c>
      <c r="B78">
        <v>4</v>
      </c>
      <c r="C78" t="s">
        <v>542</v>
      </c>
      <c r="D78" t="s">
        <v>136</v>
      </c>
      <c r="E78" t="s">
        <v>204</v>
      </c>
      <c r="F78" t="s">
        <v>12</v>
      </c>
      <c r="G78" t="s">
        <v>13</v>
      </c>
      <c r="I78" s="37">
        <v>746.99</v>
      </c>
      <c r="L78" s="37">
        <v>746.99</v>
      </c>
    </row>
    <row r="79" spans="1:14" x14ac:dyDescent="0.25">
      <c r="A79" s="1">
        <v>46049</v>
      </c>
      <c r="B79">
        <v>4</v>
      </c>
      <c r="C79" t="s">
        <v>541</v>
      </c>
      <c r="D79" t="s">
        <v>10</v>
      </c>
      <c r="E79" t="s">
        <v>205</v>
      </c>
      <c r="F79" t="s">
        <v>33</v>
      </c>
      <c r="G79" t="s">
        <v>13</v>
      </c>
      <c r="H79" t="s">
        <v>206</v>
      </c>
      <c r="I79" s="37">
        <v>851.99</v>
      </c>
      <c r="J79" s="37">
        <v>30</v>
      </c>
      <c r="L79" s="37">
        <v>881.99</v>
      </c>
      <c r="N79" s="37">
        <v>500</v>
      </c>
    </row>
    <row r="80" spans="1:14" x14ac:dyDescent="0.25">
      <c r="A80" s="1">
        <v>46049</v>
      </c>
      <c r="B80">
        <v>4</v>
      </c>
      <c r="C80" t="s">
        <v>541</v>
      </c>
      <c r="D80" t="s">
        <v>10</v>
      </c>
      <c r="E80" t="s">
        <v>207</v>
      </c>
      <c r="F80" t="s">
        <v>33</v>
      </c>
      <c r="G80" t="s">
        <v>13</v>
      </c>
      <c r="H80" t="s">
        <v>208</v>
      </c>
      <c r="I80" s="37">
        <v>851.99</v>
      </c>
      <c r="L80" s="37">
        <v>851.99</v>
      </c>
      <c r="N80" s="37">
        <v>851.99</v>
      </c>
    </row>
    <row r="81" spans="1:14" x14ac:dyDescent="0.25">
      <c r="A81" s="1">
        <v>46049</v>
      </c>
      <c r="B81">
        <v>4</v>
      </c>
      <c r="C81" t="s">
        <v>542</v>
      </c>
      <c r="D81" t="s">
        <v>48</v>
      </c>
      <c r="E81" t="s">
        <v>209</v>
      </c>
      <c r="F81" t="s">
        <v>33</v>
      </c>
      <c r="G81" t="s">
        <v>13</v>
      </c>
      <c r="I81" s="37">
        <v>851.99</v>
      </c>
      <c r="J81" s="37">
        <v>30</v>
      </c>
      <c r="L81" s="37">
        <v>881.99</v>
      </c>
    </row>
    <row r="82" spans="1:14" x14ac:dyDescent="0.25">
      <c r="A82" s="1">
        <v>46049</v>
      </c>
      <c r="B82">
        <v>4</v>
      </c>
      <c r="C82" t="s">
        <v>541</v>
      </c>
      <c r="D82" t="s">
        <v>10</v>
      </c>
      <c r="E82" t="s">
        <v>210</v>
      </c>
      <c r="F82" t="s">
        <v>211</v>
      </c>
      <c r="G82" t="s">
        <v>13</v>
      </c>
      <c r="H82" t="s">
        <v>212</v>
      </c>
      <c r="I82" s="37">
        <v>851.99</v>
      </c>
      <c r="L82" s="37">
        <v>851.99</v>
      </c>
      <c r="N82" s="37">
        <v>851.99</v>
      </c>
    </row>
    <row r="83" spans="1:14" x14ac:dyDescent="0.25">
      <c r="A83" s="1">
        <v>46049</v>
      </c>
      <c r="B83">
        <v>4</v>
      </c>
      <c r="C83" t="s">
        <v>541</v>
      </c>
      <c r="D83" t="s">
        <v>10</v>
      </c>
      <c r="E83" t="s">
        <v>213</v>
      </c>
      <c r="F83" t="s">
        <v>214</v>
      </c>
      <c r="G83" t="s">
        <v>13</v>
      </c>
      <c r="H83" t="s">
        <v>215</v>
      </c>
      <c r="I83" s="37">
        <v>851.99</v>
      </c>
      <c r="L83" s="37">
        <v>851.99</v>
      </c>
      <c r="N83" s="37">
        <v>851.99</v>
      </c>
    </row>
    <row r="84" spans="1:14" x14ac:dyDescent="0.25">
      <c r="A84" s="1">
        <v>46049</v>
      </c>
      <c r="B84">
        <v>4</v>
      </c>
      <c r="C84" t="s">
        <v>541</v>
      </c>
      <c r="D84" t="s">
        <v>10</v>
      </c>
      <c r="E84" t="s">
        <v>216</v>
      </c>
      <c r="F84" t="s">
        <v>217</v>
      </c>
      <c r="G84" t="s">
        <v>13</v>
      </c>
      <c r="H84" t="s">
        <v>218</v>
      </c>
      <c r="I84" s="37">
        <v>746.99</v>
      </c>
      <c r="L84" s="37">
        <v>746.99</v>
      </c>
      <c r="N84" s="37">
        <v>746.99</v>
      </c>
    </row>
    <row r="85" spans="1:14" x14ac:dyDescent="0.25">
      <c r="A85" s="1">
        <v>46049</v>
      </c>
      <c r="B85">
        <v>4</v>
      </c>
      <c r="C85" t="s">
        <v>541</v>
      </c>
      <c r="D85" t="s">
        <v>10</v>
      </c>
      <c r="E85" t="s">
        <v>219</v>
      </c>
      <c r="F85" t="s">
        <v>12</v>
      </c>
      <c r="G85" t="s">
        <v>13</v>
      </c>
      <c r="H85" t="s">
        <v>220</v>
      </c>
      <c r="I85" s="37">
        <v>746.99</v>
      </c>
      <c r="L85" s="37">
        <v>746.99</v>
      </c>
      <c r="N85" s="37">
        <v>746.99</v>
      </c>
    </row>
    <row r="86" spans="1:14" x14ac:dyDescent="0.25">
      <c r="A86" s="1">
        <v>46049</v>
      </c>
      <c r="B86">
        <v>4</v>
      </c>
      <c r="C86" t="s">
        <v>541</v>
      </c>
      <c r="D86" t="s">
        <v>10</v>
      </c>
      <c r="E86" t="s">
        <v>221</v>
      </c>
      <c r="F86" t="s">
        <v>37</v>
      </c>
      <c r="G86" t="s">
        <v>70</v>
      </c>
      <c r="H86" t="s">
        <v>222</v>
      </c>
      <c r="I86" s="37">
        <v>746.99</v>
      </c>
      <c r="L86" s="37">
        <v>746.99</v>
      </c>
      <c r="N86" s="37">
        <v>746.99</v>
      </c>
    </row>
    <row r="87" spans="1:14" x14ac:dyDescent="0.25">
      <c r="A87" s="1">
        <v>46049</v>
      </c>
      <c r="B87">
        <v>4</v>
      </c>
      <c r="C87" t="s">
        <v>541</v>
      </c>
      <c r="D87" t="s">
        <v>10</v>
      </c>
      <c r="E87" t="s">
        <v>223</v>
      </c>
      <c r="F87" t="s">
        <v>41</v>
      </c>
      <c r="G87" t="s">
        <v>22</v>
      </c>
      <c r="H87" t="s">
        <v>224</v>
      </c>
      <c r="I87" s="37">
        <v>746.99</v>
      </c>
      <c r="K87" s="37">
        <v>106.71</v>
      </c>
      <c r="L87" s="37">
        <v>640.28</v>
      </c>
      <c r="N87" s="37">
        <v>640.28</v>
      </c>
    </row>
    <row r="88" spans="1:14" x14ac:dyDescent="0.25">
      <c r="A88" s="1">
        <v>46049</v>
      </c>
      <c r="B88">
        <v>4</v>
      </c>
      <c r="C88" t="s">
        <v>541</v>
      </c>
      <c r="D88" t="s">
        <v>10</v>
      </c>
      <c r="E88" t="s">
        <v>225</v>
      </c>
      <c r="F88" t="s">
        <v>217</v>
      </c>
      <c r="G88" t="s">
        <v>22</v>
      </c>
      <c r="H88" t="s">
        <v>226</v>
      </c>
      <c r="I88" s="37">
        <v>746.99</v>
      </c>
      <c r="J88" s="37">
        <v>56.01</v>
      </c>
      <c r="L88" s="37">
        <v>803</v>
      </c>
      <c r="N88" s="37">
        <v>803</v>
      </c>
    </row>
    <row r="89" spans="1:14" x14ac:dyDescent="0.25">
      <c r="A89" s="1">
        <v>46049</v>
      </c>
      <c r="B89">
        <v>4</v>
      </c>
      <c r="C89" t="s">
        <v>541</v>
      </c>
      <c r="D89" t="s">
        <v>10</v>
      </c>
      <c r="E89" t="s">
        <v>227</v>
      </c>
      <c r="F89" t="s">
        <v>12</v>
      </c>
      <c r="G89" t="s">
        <v>104</v>
      </c>
      <c r="H89" t="s">
        <v>228</v>
      </c>
      <c r="I89" s="37">
        <v>746</v>
      </c>
      <c r="L89" s="37">
        <v>746</v>
      </c>
      <c r="N89" s="37">
        <v>746</v>
      </c>
    </row>
    <row r="90" spans="1:14" x14ac:dyDescent="0.25">
      <c r="A90" s="1">
        <v>46049</v>
      </c>
      <c r="B90">
        <v>4</v>
      </c>
      <c r="C90" t="s">
        <v>541</v>
      </c>
      <c r="D90" t="s">
        <v>10</v>
      </c>
      <c r="E90" t="s">
        <v>229</v>
      </c>
      <c r="F90" t="s">
        <v>230</v>
      </c>
      <c r="G90" t="s">
        <v>22</v>
      </c>
      <c r="H90" t="s">
        <v>231</v>
      </c>
      <c r="I90" s="37">
        <v>746.99</v>
      </c>
      <c r="J90" s="37">
        <v>30</v>
      </c>
      <c r="L90" s="37">
        <v>776.99</v>
      </c>
      <c r="N90" s="37">
        <v>776.99</v>
      </c>
    </row>
    <row r="91" spans="1:14" x14ac:dyDescent="0.25">
      <c r="A91" s="1">
        <v>46049</v>
      </c>
      <c r="B91">
        <v>4</v>
      </c>
      <c r="C91" t="s">
        <v>541</v>
      </c>
      <c r="D91" t="s">
        <v>10</v>
      </c>
      <c r="E91" t="s">
        <v>232</v>
      </c>
      <c r="F91" t="s">
        <v>158</v>
      </c>
      <c r="G91" t="s">
        <v>22</v>
      </c>
      <c r="H91" t="s">
        <v>233</v>
      </c>
      <c r="I91" s="37">
        <v>746.99</v>
      </c>
      <c r="K91" s="37">
        <v>0.99</v>
      </c>
      <c r="L91" s="37">
        <v>746</v>
      </c>
      <c r="N91" s="37">
        <v>746</v>
      </c>
    </row>
    <row r="92" spans="1:14" x14ac:dyDescent="0.25">
      <c r="A92" s="1">
        <v>46049</v>
      </c>
      <c r="B92">
        <v>4</v>
      </c>
      <c r="C92" t="s">
        <v>542</v>
      </c>
      <c r="D92" t="s">
        <v>234</v>
      </c>
      <c r="E92" t="s">
        <v>235</v>
      </c>
      <c r="F92" t="s">
        <v>158</v>
      </c>
      <c r="G92" t="s">
        <v>104</v>
      </c>
      <c r="I92" s="37">
        <v>746.99</v>
      </c>
      <c r="L92" s="37">
        <v>746.99</v>
      </c>
    </row>
    <row r="93" spans="1:14" x14ac:dyDescent="0.25">
      <c r="A93" s="1">
        <v>46049</v>
      </c>
      <c r="B93">
        <v>4</v>
      </c>
      <c r="C93" t="s">
        <v>541</v>
      </c>
      <c r="D93" t="s">
        <v>10</v>
      </c>
      <c r="E93" t="s">
        <v>236</v>
      </c>
      <c r="F93" t="s">
        <v>158</v>
      </c>
      <c r="G93" t="s">
        <v>104</v>
      </c>
      <c r="H93" t="s">
        <v>237</v>
      </c>
      <c r="I93" s="37">
        <v>746.99</v>
      </c>
      <c r="L93" s="37">
        <v>746.99</v>
      </c>
      <c r="N93" s="37">
        <v>643</v>
      </c>
    </row>
    <row r="94" spans="1:14" x14ac:dyDescent="0.25">
      <c r="A94" s="1">
        <v>46049</v>
      </c>
      <c r="B94">
        <v>4</v>
      </c>
      <c r="C94" t="s">
        <v>541</v>
      </c>
      <c r="D94" t="s">
        <v>10</v>
      </c>
      <c r="E94" t="s">
        <v>238</v>
      </c>
      <c r="F94" t="s">
        <v>158</v>
      </c>
      <c r="G94" t="s">
        <v>66</v>
      </c>
      <c r="H94" t="s">
        <v>239</v>
      </c>
      <c r="I94" s="37">
        <v>746.99</v>
      </c>
      <c r="J94" s="37">
        <v>3.01</v>
      </c>
      <c r="L94" s="37">
        <v>750</v>
      </c>
      <c r="N94" s="37">
        <v>750</v>
      </c>
    </row>
    <row r="95" spans="1:14" x14ac:dyDescent="0.25">
      <c r="A95" s="1">
        <v>46049</v>
      </c>
      <c r="B95">
        <v>4</v>
      </c>
      <c r="C95" t="s">
        <v>541</v>
      </c>
      <c r="D95" t="s">
        <v>10</v>
      </c>
      <c r="E95" t="s">
        <v>240</v>
      </c>
      <c r="F95" t="s">
        <v>158</v>
      </c>
      <c r="G95" t="s">
        <v>111</v>
      </c>
      <c r="H95" t="s">
        <v>241</v>
      </c>
      <c r="I95" s="37">
        <v>746.99</v>
      </c>
      <c r="J95" s="37">
        <v>0.01</v>
      </c>
      <c r="L95" s="37">
        <v>747</v>
      </c>
      <c r="N95" s="37">
        <v>747</v>
      </c>
    </row>
    <row r="96" spans="1:14" x14ac:dyDescent="0.25">
      <c r="A96" s="1">
        <v>46049</v>
      </c>
      <c r="B96">
        <v>4</v>
      </c>
      <c r="C96" t="s">
        <v>541</v>
      </c>
      <c r="D96" t="s">
        <v>10</v>
      </c>
      <c r="E96" t="s">
        <v>242</v>
      </c>
      <c r="F96" t="s">
        <v>217</v>
      </c>
      <c r="G96" t="s">
        <v>13</v>
      </c>
      <c r="H96" t="s">
        <v>243</v>
      </c>
      <c r="I96" s="37">
        <v>746.99</v>
      </c>
      <c r="L96" s="37">
        <v>746.99</v>
      </c>
      <c r="N96" s="37">
        <v>545</v>
      </c>
    </row>
    <row r="97" spans="1:14" x14ac:dyDescent="0.25">
      <c r="A97" s="1">
        <v>46049</v>
      </c>
      <c r="B97">
        <v>4</v>
      </c>
      <c r="C97" t="s">
        <v>541</v>
      </c>
      <c r="D97" t="s">
        <v>10</v>
      </c>
      <c r="E97" t="s">
        <v>244</v>
      </c>
      <c r="F97" t="s">
        <v>245</v>
      </c>
      <c r="G97" t="s">
        <v>13</v>
      </c>
      <c r="H97" t="s">
        <v>246</v>
      </c>
      <c r="I97" s="37">
        <v>746.99</v>
      </c>
      <c r="J97" s="37">
        <v>30.01</v>
      </c>
      <c r="L97" s="37">
        <v>777</v>
      </c>
      <c r="N97" s="37">
        <v>777</v>
      </c>
    </row>
    <row r="98" spans="1:14" x14ac:dyDescent="0.25">
      <c r="A98" s="1">
        <v>46049</v>
      </c>
      <c r="B98">
        <v>4</v>
      </c>
      <c r="C98" t="s">
        <v>541</v>
      </c>
      <c r="D98" t="s">
        <v>10</v>
      </c>
      <c r="E98" t="s">
        <v>247</v>
      </c>
      <c r="F98" t="s">
        <v>12</v>
      </c>
      <c r="G98" t="s">
        <v>104</v>
      </c>
      <c r="H98" t="s">
        <v>215</v>
      </c>
      <c r="I98" s="37">
        <v>851.99</v>
      </c>
      <c r="L98" s="37">
        <v>851.99</v>
      </c>
      <c r="N98" s="37">
        <v>851.99</v>
      </c>
    </row>
    <row r="99" spans="1:14" x14ac:dyDescent="0.25">
      <c r="A99" s="1">
        <v>46049</v>
      </c>
      <c r="B99">
        <v>4</v>
      </c>
      <c r="C99" t="s">
        <v>541</v>
      </c>
      <c r="D99" t="s">
        <v>10</v>
      </c>
      <c r="E99" t="s">
        <v>248</v>
      </c>
      <c r="F99" t="s">
        <v>12</v>
      </c>
      <c r="G99" t="s">
        <v>13</v>
      </c>
      <c r="H99" t="s">
        <v>249</v>
      </c>
      <c r="I99" s="37">
        <v>746.99</v>
      </c>
      <c r="K99" s="37">
        <v>1.99</v>
      </c>
      <c r="L99" s="37">
        <v>745</v>
      </c>
      <c r="N99" s="37">
        <v>745</v>
      </c>
    </row>
    <row r="100" spans="1:14" x14ac:dyDescent="0.25">
      <c r="A100" s="1">
        <v>46049</v>
      </c>
      <c r="B100">
        <v>4</v>
      </c>
      <c r="C100" t="s">
        <v>541</v>
      </c>
      <c r="D100" t="s">
        <v>10</v>
      </c>
      <c r="E100" t="s">
        <v>250</v>
      </c>
      <c r="F100" t="s">
        <v>12</v>
      </c>
      <c r="G100" t="s">
        <v>13</v>
      </c>
      <c r="H100" t="s">
        <v>251</v>
      </c>
      <c r="I100" s="37">
        <v>746.99</v>
      </c>
      <c r="J100" s="37">
        <v>180</v>
      </c>
      <c r="L100" s="37">
        <v>926.99</v>
      </c>
      <c r="N100" s="37">
        <v>525</v>
      </c>
    </row>
    <row r="101" spans="1:14" x14ac:dyDescent="0.25">
      <c r="A101" s="1">
        <v>46049</v>
      </c>
      <c r="B101">
        <v>4</v>
      </c>
      <c r="C101" t="s">
        <v>541</v>
      </c>
      <c r="D101" t="s">
        <v>10</v>
      </c>
      <c r="E101" t="s">
        <v>252</v>
      </c>
      <c r="F101" t="s">
        <v>158</v>
      </c>
      <c r="G101" t="s">
        <v>22</v>
      </c>
      <c r="H101" t="s">
        <v>253</v>
      </c>
      <c r="I101" s="37">
        <v>746.99</v>
      </c>
      <c r="K101" s="37">
        <v>212.86</v>
      </c>
      <c r="L101" s="37">
        <v>534.13</v>
      </c>
      <c r="N101" s="37">
        <v>534.13</v>
      </c>
    </row>
    <row r="102" spans="1:14" x14ac:dyDescent="0.25">
      <c r="A102" s="1">
        <v>46049</v>
      </c>
      <c r="B102">
        <v>4</v>
      </c>
      <c r="C102" t="s">
        <v>541</v>
      </c>
      <c r="D102" t="s">
        <v>10</v>
      </c>
      <c r="E102" t="s">
        <v>254</v>
      </c>
      <c r="F102" t="s">
        <v>255</v>
      </c>
      <c r="G102" t="s">
        <v>66</v>
      </c>
      <c r="H102" t="s">
        <v>256</v>
      </c>
      <c r="I102" s="37">
        <v>851.99</v>
      </c>
      <c r="K102" s="37">
        <v>1.99</v>
      </c>
      <c r="L102" s="37">
        <v>850</v>
      </c>
      <c r="N102" s="37">
        <v>850</v>
      </c>
    </row>
    <row r="103" spans="1:14" x14ac:dyDescent="0.25">
      <c r="A103" s="1">
        <v>46049</v>
      </c>
      <c r="B103">
        <v>4</v>
      </c>
      <c r="C103" t="s">
        <v>541</v>
      </c>
      <c r="D103" t="s">
        <v>10</v>
      </c>
      <c r="E103" t="s">
        <v>257</v>
      </c>
      <c r="F103" t="s">
        <v>158</v>
      </c>
      <c r="G103" t="s">
        <v>111</v>
      </c>
      <c r="H103" t="s">
        <v>258</v>
      </c>
      <c r="I103" s="37">
        <v>746.99</v>
      </c>
      <c r="L103" s="37">
        <v>746.99</v>
      </c>
      <c r="N103" s="37">
        <v>746.99</v>
      </c>
    </row>
    <row r="104" spans="1:14" x14ac:dyDescent="0.25">
      <c r="A104" s="1">
        <v>46049</v>
      </c>
      <c r="B104">
        <v>4</v>
      </c>
      <c r="C104" t="s">
        <v>541</v>
      </c>
      <c r="D104" t="s">
        <v>10</v>
      </c>
      <c r="E104" t="s">
        <v>259</v>
      </c>
      <c r="F104" t="s">
        <v>260</v>
      </c>
      <c r="G104" t="s">
        <v>261</v>
      </c>
      <c r="H104" t="s">
        <v>262</v>
      </c>
      <c r="I104" s="37">
        <v>881.99</v>
      </c>
      <c r="J104" s="37">
        <v>2.0099999999999998</v>
      </c>
      <c r="L104" s="37">
        <v>884</v>
      </c>
      <c r="N104" s="37">
        <v>884</v>
      </c>
    </row>
    <row r="105" spans="1:14" x14ac:dyDescent="0.25">
      <c r="A105" s="1">
        <v>46049</v>
      </c>
      <c r="B105">
        <v>4</v>
      </c>
      <c r="C105" t="s">
        <v>541</v>
      </c>
      <c r="D105" t="s">
        <v>10</v>
      </c>
      <c r="E105" t="s">
        <v>263</v>
      </c>
      <c r="F105" t="s">
        <v>264</v>
      </c>
      <c r="G105" t="s">
        <v>66</v>
      </c>
      <c r="H105" t="s">
        <v>265</v>
      </c>
      <c r="I105" s="37">
        <v>746.99</v>
      </c>
      <c r="K105" s="37">
        <v>640.55999999999995</v>
      </c>
      <c r="L105" s="37">
        <v>106.43</v>
      </c>
      <c r="N105" s="37">
        <v>106.43</v>
      </c>
    </row>
    <row r="106" spans="1:14" x14ac:dyDescent="0.25">
      <c r="A106" s="1">
        <v>46049</v>
      </c>
      <c r="B106">
        <v>4</v>
      </c>
      <c r="C106" t="s">
        <v>541</v>
      </c>
      <c r="D106" t="s">
        <v>10</v>
      </c>
      <c r="E106" t="s">
        <v>266</v>
      </c>
      <c r="F106" t="s">
        <v>55</v>
      </c>
      <c r="G106" t="s">
        <v>13</v>
      </c>
      <c r="H106" t="s">
        <v>267</v>
      </c>
      <c r="I106" s="37">
        <v>746.99</v>
      </c>
      <c r="L106" s="37">
        <v>746.99</v>
      </c>
    </row>
    <row r="107" spans="1:14" x14ac:dyDescent="0.25">
      <c r="A107" s="1">
        <v>46049</v>
      </c>
      <c r="B107">
        <v>4</v>
      </c>
      <c r="C107" t="s">
        <v>541</v>
      </c>
      <c r="D107" t="s">
        <v>10</v>
      </c>
      <c r="E107" t="s">
        <v>268</v>
      </c>
      <c r="F107" t="s">
        <v>52</v>
      </c>
      <c r="G107" t="s">
        <v>77</v>
      </c>
      <c r="H107" t="s">
        <v>269</v>
      </c>
      <c r="I107" s="37">
        <v>1251.99</v>
      </c>
      <c r="K107" s="37">
        <v>1.99</v>
      </c>
      <c r="L107" s="37">
        <v>1250</v>
      </c>
      <c r="N107" s="37">
        <v>1250</v>
      </c>
    </row>
    <row r="108" spans="1:14" x14ac:dyDescent="0.25">
      <c r="A108" s="1">
        <v>46049</v>
      </c>
      <c r="B108">
        <v>4</v>
      </c>
      <c r="C108" t="s">
        <v>541</v>
      </c>
      <c r="D108" t="s">
        <v>10</v>
      </c>
      <c r="E108" t="s">
        <v>270</v>
      </c>
      <c r="F108" t="s">
        <v>12</v>
      </c>
      <c r="G108" t="s">
        <v>13</v>
      </c>
      <c r="H108" t="s">
        <v>271</v>
      </c>
      <c r="I108" s="37">
        <v>746.99</v>
      </c>
      <c r="J108" s="37">
        <v>30</v>
      </c>
      <c r="L108" s="37">
        <v>776.99</v>
      </c>
      <c r="N108" s="37">
        <v>776.99</v>
      </c>
    </row>
    <row r="109" spans="1:14" x14ac:dyDescent="0.25">
      <c r="A109" s="1">
        <v>46049</v>
      </c>
      <c r="B109">
        <v>4</v>
      </c>
      <c r="C109" t="s">
        <v>541</v>
      </c>
      <c r="D109" t="s">
        <v>10</v>
      </c>
      <c r="E109" t="s">
        <v>272</v>
      </c>
      <c r="F109" t="s">
        <v>37</v>
      </c>
      <c r="G109" t="s">
        <v>38</v>
      </c>
      <c r="H109" t="s">
        <v>273</v>
      </c>
      <c r="I109" s="37">
        <v>746.99</v>
      </c>
      <c r="K109" s="37">
        <v>1.99</v>
      </c>
      <c r="L109" s="37">
        <v>745</v>
      </c>
      <c r="N109" s="37">
        <v>745</v>
      </c>
    </row>
    <row r="110" spans="1:14" x14ac:dyDescent="0.25">
      <c r="A110" s="1">
        <v>46049</v>
      </c>
      <c r="B110">
        <v>4</v>
      </c>
      <c r="C110" t="s">
        <v>541</v>
      </c>
      <c r="D110" t="s">
        <v>10</v>
      </c>
      <c r="E110" t="s">
        <v>274</v>
      </c>
      <c r="F110" t="s">
        <v>52</v>
      </c>
      <c r="G110" t="s">
        <v>77</v>
      </c>
      <c r="H110" t="s">
        <v>275</v>
      </c>
      <c r="I110" s="37">
        <v>1251.99</v>
      </c>
      <c r="J110" s="37">
        <v>30.01</v>
      </c>
      <c r="L110" s="37">
        <v>1282</v>
      </c>
      <c r="N110" s="37">
        <v>1282</v>
      </c>
    </row>
    <row r="111" spans="1:14" x14ac:dyDescent="0.25">
      <c r="A111" s="1">
        <v>46049</v>
      </c>
      <c r="B111">
        <v>4</v>
      </c>
      <c r="C111" t="s">
        <v>541</v>
      </c>
      <c r="D111" t="s">
        <v>10</v>
      </c>
      <c r="E111" t="s">
        <v>276</v>
      </c>
      <c r="F111" t="s">
        <v>277</v>
      </c>
      <c r="G111" t="s">
        <v>13</v>
      </c>
      <c r="H111" t="s">
        <v>278</v>
      </c>
      <c r="I111" s="37">
        <v>746.99</v>
      </c>
      <c r="J111" s="37">
        <v>3.01</v>
      </c>
      <c r="L111" s="37">
        <v>750</v>
      </c>
      <c r="N111" s="37">
        <v>750</v>
      </c>
    </row>
    <row r="112" spans="1:14" x14ac:dyDescent="0.25">
      <c r="A112" s="1">
        <v>46049</v>
      </c>
      <c r="B112">
        <v>4</v>
      </c>
      <c r="C112" t="s">
        <v>541</v>
      </c>
      <c r="D112" t="s">
        <v>10</v>
      </c>
      <c r="E112" t="s">
        <v>279</v>
      </c>
      <c r="F112" t="s">
        <v>55</v>
      </c>
      <c r="G112" t="s">
        <v>56</v>
      </c>
      <c r="H112" t="s">
        <v>280</v>
      </c>
      <c r="I112" s="37">
        <v>746.99</v>
      </c>
      <c r="J112" s="37">
        <v>3.01</v>
      </c>
      <c r="L112" s="37">
        <v>750</v>
      </c>
      <c r="N112" s="37">
        <v>750</v>
      </c>
    </row>
    <row r="113" spans="1:14" x14ac:dyDescent="0.25">
      <c r="A113" s="1">
        <v>46049</v>
      </c>
      <c r="B113">
        <v>4</v>
      </c>
      <c r="C113" t="s">
        <v>541</v>
      </c>
      <c r="D113" t="s">
        <v>10</v>
      </c>
      <c r="E113" t="s">
        <v>281</v>
      </c>
      <c r="F113" t="s">
        <v>55</v>
      </c>
      <c r="G113" t="s">
        <v>56</v>
      </c>
      <c r="H113" t="s">
        <v>282</v>
      </c>
      <c r="I113" s="37">
        <v>746.99</v>
      </c>
      <c r="J113" s="37">
        <v>30</v>
      </c>
      <c r="L113" s="37">
        <v>776.99</v>
      </c>
      <c r="N113" s="37">
        <v>776.99</v>
      </c>
    </row>
    <row r="114" spans="1:14" x14ac:dyDescent="0.25">
      <c r="A114" s="1">
        <v>46049</v>
      </c>
      <c r="B114">
        <v>4</v>
      </c>
      <c r="C114" t="s">
        <v>541</v>
      </c>
      <c r="D114" t="s">
        <v>10</v>
      </c>
      <c r="E114" t="s">
        <v>283</v>
      </c>
      <c r="F114" t="s">
        <v>76</v>
      </c>
      <c r="G114" t="s">
        <v>77</v>
      </c>
      <c r="H114" t="s">
        <v>284</v>
      </c>
      <c r="I114" s="37">
        <v>1451.99</v>
      </c>
      <c r="L114" s="37">
        <v>1451.99</v>
      </c>
      <c r="N114" s="37">
        <v>1451.99</v>
      </c>
    </row>
    <row r="115" spans="1:14" x14ac:dyDescent="0.25">
      <c r="A115" s="1">
        <v>46049</v>
      </c>
      <c r="B115">
        <v>4</v>
      </c>
      <c r="C115" t="s">
        <v>541</v>
      </c>
      <c r="D115" t="s">
        <v>10</v>
      </c>
      <c r="E115" t="s">
        <v>285</v>
      </c>
      <c r="F115" t="s">
        <v>76</v>
      </c>
      <c r="G115" t="s">
        <v>77</v>
      </c>
      <c r="H115" t="s">
        <v>286</v>
      </c>
      <c r="I115" s="37">
        <v>1451.99</v>
      </c>
      <c r="J115" s="37">
        <v>30</v>
      </c>
      <c r="L115" s="37">
        <v>1481.99</v>
      </c>
      <c r="N115" s="37">
        <v>1481.99</v>
      </c>
    </row>
    <row r="116" spans="1:14" x14ac:dyDescent="0.25">
      <c r="A116" s="1">
        <v>46049</v>
      </c>
      <c r="B116">
        <v>4</v>
      </c>
      <c r="C116" t="s">
        <v>542</v>
      </c>
      <c r="D116" t="s">
        <v>99</v>
      </c>
      <c r="E116" t="s">
        <v>287</v>
      </c>
      <c r="F116" t="s">
        <v>52</v>
      </c>
      <c r="G116" t="s">
        <v>77</v>
      </c>
      <c r="I116" s="37">
        <v>1251.99</v>
      </c>
      <c r="L116" s="37">
        <v>1251.99</v>
      </c>
    </row>
    <row r="117" spans="1:14" x14ac:dyDescent="0.25">
      <c r="A117" s="1">
        <v>46049</v>
      </c>
      <c r="B117">
        <v>4</v>
      </c>
      <c r="C117" t="s">
        <v>542</v>
      </c>
      <c r="D117" t="s">
        <v>136</v>
      </c>
      <c r="E117" t="s">
        <v>288</v>
      </c>
      <c r="F117" t="s">
        <v>55</v>
      </c>
      <c r="G117" t="s">
        <v>104</v>
      </c>
      <c r="I117" s="37">
        <v>746.99</v>
      </c>
      <c r="J117" s="37">
        <v>60</v>
      </c>
      <c r="L117" s="37">
        <v>806.99</v>
      </c>
    </row>
    <row r="118" spans="1:14" x14ac:dyDescent="0.25">
      <c r="A118" s="1">
        <v>46049</v>
      </c>
      <c r="B118">
        <v>4</v>
      </c>
      <c r="C118" t="s">
        <v>542</v>
      </c>
      <c r="D118" t="s">
        <v>48</v>
      </c>
      <c r="E118" t="s">
        <v>289</v>
      </c>
      <c r="F118" t="s">
        <v>12</v>
      </c>
      <c r="G118" t="s">
        <v>22</v>
      </c>
      <c r="H118" t="s">
        <v>290</v>
      </c>
      <c r="I118" s="37">
        <v>746.99</v>
      </c>
      <c r="L118" s="37">
        <v>746.99</v>
      </c>
    </row>
    <row r="119" spans="1:14" x14ac:dyDescent="0.25">
      <c r="A119" s="1">
        <v>46049</v>
      </c>
      <c r="B119">
        <v>4</v>
      </c>
      <c r="C119" t="s">
        <v>541</v>
      </c>
      <c r="D119" t="s">
        <v>10</v>
      </c>
      <c r="E119" t="s">
        <v>291</v>
      </c>
      <c r="F119" t="s">
        <v>41</v>
      </c>
      <c r="G119" t="s">
        <v>13</v>
      </c>
      <c r="H119" t="s">
        <v>292</v>
      </c>
      <c r="I119" s="37">
        <v>746.99</v>
      </c>
      <c r="L119" s="37">
        <v>791.99</v>
      </c>
      <c r="N119" s="37">
        <v>746.99</v>
      </c>
    </row>
    <row r="120" spans="1:14" x14ac:dyDescent="0.25">
      <c r="A120" s="1">
        <v>46049</v>
      </c>
      <c r="B120">
        <v>4</v>
      </c>
      <c r="C120" t="s">
        <v>542</v>
      </c>
      <c r="D120" t="s">
        <v>99</v>
      </c>
      <c r="E120" t="s">
        <v>293</v>
      </c>
      <c r="F120" t="s">
        <v>294</v>
      </c>
      <c r="G120" t="s">
        <v>13</v>
      </c>
      <c r="I120" s="37">
        <v>746.99</v>
      </c>
      <c r="L120" s="37">
        <v>746.99</v>
      </c>
    </row>
    <row r="121" spans="1:14" x14ac:dyDescent="0.25">
      <c r="A121" s="1">
        <v>46049</v>
      </c>
      <c r="B121">
        <v>4</v>
      </c>
      <c r="C121" t="s">
        <v>542</v>
      </c>
      <c r="D121" t="s">
        <v>99</v>
      </c>
      <c r="E121" t="s">
        <v>295</v>
      </c>
      <c r="F121" t="s">
        <v>33</v>
      </c>
      <c r="G121" t="s">
        <v>13</v>
      </c>
      <c r="I121" s="37">
        <v>851.99</v>
      </c>
      <c r="L121" s="37">
        <v>851.99</v>
      </c>
    </row>
    <row r="122" spans="1:14" x14ac:dyDescent="0.25">
      <c r="A122" s="1">
        <v>46049</v>
      </c>
      <c r="B122">
        <v>4</v>
      </c>
      <c r="C122" t="s">
        <v>542</v>
      </c>
      <c r="D122" t="s">
        <v>99</v>
      </c>
      <c r="E122" t="s">
        <v>296</v>
      </c>
      <c r="F122" t="s">
        <v>37</v>
      </c>
      <c r="G122" t="s">
        <v>38</v>
      </c>
      <c r="I122" s="37">
        <v>745</v>
      </c>
      <c r="L122" s="37">
        <v>745</v>
      </c>
    </row>
    <row r="123" spans="1:14" x14ac:dyDescent="0.25">
      <c r="A123" s="1">
        <v>46049</v>
      </c>
      <c r="B123">
        <v>4</v>
      </c>
      <c r="C123" t="s">
        <v>542</v>
      </c>
      <c r="D123" t="s">
        <v>99</v>
      </c>
      <c r="E123" t="s">
        <v>297</v>
      </c>
      <c r="F123" t="s">
        <v>298</v>
      </c>
      <c r="G123" t="s">
        <v>299</v>
      </c>
      <c r="I123" s="37">
        <v>801.99</v>
      </c>
      <c r="L123" s="37">
        <v>801.99</v>
      </c>
    </row>
    <row r="124" spans="1:14" x14ac:dyDescent="0.25">
      <c r="A124" s="1">
        <v>46049</v>
      </c>
      <c r="B124">
        <v>4</v>
      </c>
      <c r="C124" t="s">
        <v>542</v>
      </c>
      <c r="D124" t="s">
        <v>99</v>
      </c>
      <c r="E124" t="s">
        <v>300</v>
      </c>
      <c r="F124" t="s">
        <v>301</v>
      </c>
      <c r="G124" t="s">
        <v>104</v>
      </c>
      <c r="I124" s="37">
        <v>746.99</v>
      </c>
      <c r="L124" s="37">
        <v>746.99</v>
      </c>
    </row>
    <row r="125" spans="1:14" x14ac:dyDescent="0.25">
      <c r="A125" s="1">
        <v>46049</v>
      </c>
      <c r="B125">
        <v>4</v>
      </c>
      <c r="C125" t="s">
        <v>542</v>
      </c>
      <c r="D125" t="s">
        <v>99</v>
      </c>
      <c r="E125" t="s">
        <v>302</v>
      </c>
      <c r="F125" t="s">
        <v>37</v>
      </c>
      <c r="G125" t="s">
        <v>13</v>
      </c>
      <c r="I125" s="37">
        <v>746.99</v>
      </c>
      <c r="L125" s="37">
        <v>746.99</v>
      </c>
    </row>
    <row r="126" spans="1:14" x14ac:dyDescent="0.25">
      <c r="A126" s="1">
        <v>46049</v>
      </c>
      <c r="B126">
        <v>4</v>
      </c>
      <c r="C126" t="s">
        <v>541</v>
      </c>
      <c r="D126" t="s">
        <v>10</v>
      </c>
      <c r="E126" t="s">
        <v>303</v>
      </c>
      <c r="F126" t="s">
        <v>33</v>
      </c>
      <c r="G126" t="s">
        <v>13</v>
      </c>
      <c r="H126" t="s">
        <v>304</v>
      </c>
      <c r="I126" s="37">
        <v>851.99</v>
      </c>
      <c r="L126" s="37">
        <v>1346.99</v>
      </c>
      <c r="N126" s="37">
        <v>851.99</v>
      </c>
    </row>
    <row r="127" spans="1:14" x14ac:dyDescent="0.25">
      <c r="A127" s="1">
        <v>46049</v>
      </c>
      <c r="B127">
        <v>4</v>
      </c>
      <c r="C127" t="s">
        <v>541</v>
      </c>
      <c r="D127" t="s">
        <v>10</v>
      </c>
      <c r="E127" t="s">
        <v>305</v>
      </c>
      <c r="F127" t="s">
        <v>41</v>
      </c>
      <c r="G127" t="s">
        <v>111</v>
      </c>
      <c r="H127" t="s">
        <v>306</v>
      </c>
      <c r="I127" s="37">
        <v>746.99</v>
      </c>
      <c r="L127" s="37">
        <v>1241.99</v>
      </c>
      <c r="N127" s="37">
        <v>746.99</v>
      </c>
    </row>
    <row r="128" spans="1:14" x14ac:dyDescent="0.25">
      <c r="A128" s="1">
        <v>46049</v>
      </c>
      <c r="B128">
        <v>4</v>
      </c>
      <c r="C128" t="s">
        <v>542</v>
      </c>
      <c r="D128" t="s">
        <v>99</v>
      </c>
      <c r="E128" t="s">
        <v>307</v>
      </c>
      <c r="F128" t="s">
        <v>214</v>
      </c>
      <c r="G128" t="s">
        <v>66</v>
      </c>
      <c r="I128" s="37">
        <v>851.99</v>
      </c>
      <c r="L128" s="37">
        <v>851.99</v>
      </c>
    </row>
    <row r="129" spans="1:14" x14ac:dyDescent="0.25">
      <c r="A129" s="1">
        <v>46049</v>
      </c>
      <c r="B129">
        <v>4</v>
      </c>
      <c r="C129" t="s">
        <v>541</v>
      </c>
      <c r="D129" t="s">
        <v>10</v>
      </c>
      <c r="E129" t="s">
        <v>308</v>
      </c>
      <c r="F129" t="s">
        <v>28</v>
      </c>
      <c r="G129" t="s">
        <v>13</v>
      </c>
      <c r="H129" t="s">
        <v>309</v>
      </c>
      <c r="I129" s="37">
        <v>931.99</v>
      </c>
      <c r="L129" s="37">
        <v>1126.99</v>
      </c>
      <c r="N129" s="37">
        <v>931.99</v>
      </c>
    </row>
    <row r="130" spans="1:14" x14ac:dyDescent="0.25">
      <c r="A130" s="1">
        <v>46049</v>
      </c>
      <c r="B130">
        <v>4</v>
      </c>
      <c r="C130" t="s">
        <v>541</v>
      </c>
      <c r="D130" t="s">
        <v>10</v>
      </c>
      <c r="E130" t="s">
        <v>310</v>
      </c>
      <c r="F130" t="s">
        <v>28</v>
      </c>
      <c r="G130" t="s">
        <v>13</v>
      </c>
      <c r="H130" t="s">
        <v>311</v>
      </c>
      <c r="I130" s="37">
        <v>931.99</v>
      </c>
      <c r="L130" s="37">
        <v>976.99</v>
      </c>
      <c r="N130" s="37">
        <v>931.99</v>
      </c>
    </row>
    <row r="131" spans="1:14" x14ac:dyDescent="0.25">
      <c r="A131" s="1">
        <v>46049</v>
      </c>
      <c r="B131">
        <v>4</v>
      </c>
      <c r="C131" t="s">
        <v>542</v>
      </c>
      <c r="D131" t="s">
        <v>99</v>
      </c>
      <c r="E131" t="s">
        <v>312</v>
      </c>
      <c r="F131" t="s">
        <v>158</v>
      </c>
      <c r="G131" t="s">
        <v>104</v>
      </c>
      <c r="I131" s="37">
        <v>746.99</v>
      </c>
      <c r="L131" s="37">
        <v>746.99</v>
      </c>
    </row>
    <row r="132" spans="1:14" x14ac:dyDescent="0.25">
      <c r="A132" s="1">
        <v>46049</v>
      </c>
      <c r="B132">
        <v>4</v>
      </c>
      <c r="C132" t="s">
        <v>542</v>
      </c>
      <c r="D132" t="s">
        <v>99</v>
      </c>
      <c r="E132" t="s">
        <v>313</v>
      </c>
      <c r="F132" t="s">
        <v>52</v>
      </c>
      <c r="G132" t="s">
        <v>314</v>
      </c>
      <c r="I132" s="37">
        <v>1251.99</v>
      </c>
      <c r="L132" s="37">
        <v>1251.99</v>
      </c>
    </row>
    <row r="133" spans="1:14" x14ac:dyDescent="0.25">
      <c r="A133" s="1">
        <v>46049</v>
      </c>
      <c r="B133">
        <v>4</v>
      </c>
      <c r="C133" t="s">
        <v>541</v>
      </c>
      <c r="D133" t="s">
        <v>10</v>
      </c>
      <c r="E133" t="s">
        <v>315</v>
      </c>
      <c r="F133" t="s">
        <v>41</v>
      </c>
      <c r="G133" t="s">
        <v>111</v>
      </c>
      <c r="H133" t="s">
        <v>316</v>
      </c>
      <c r="I133" s="37">
        <v>746.99</v>
      </c>
      <c r="L133" s="37">
        <v>791.99</v>
      </c>
      <c r="N133" s="37">
        <v>746.99</v>
      </c>
    </row>
    <row r="134" spans="1:14" x14ac:dyDescent="0.25">
      <c r="A134" s="1">
        <v>46049</v>
      </c>
      <c r="B134">
        <v>4</v>
      </c>
      <c r="C134" t="s">
        <v>542</v>
      </c>
      <c r="D134" t="s">
        <v>99</v>
      </c>
      <c r="E134" t="s">
        <v>317</v>
      </c>
      <c r="F134" t="s">
        <v>101</v>
      </c>
      <c r="G134" t="s">
        <v>13</v>
      </c>
      <c r="I134" s="37">
        <v>1351.99</v>
      </c>
      <c r="L134" s="37">
        <v>1351.99</v>
      </c>
    </row>
    <row r="135" spans="1:14" x14ac:dyDescent="0.25">
      <c r="A135" s="1">
        <v>46049</v>
      </c>
      <c r="B135">
        <v>4</v>
      </c>
      <c r="C135" t="s">
        <v>542</v>
      </c>
      <c r="D135" t="s">
        <v>99</v>
      </c>
      <c r="E135" t="s">
        <v>318</v>
      </c>
      <c r="F135" t="s">
        <v>12</v>
      </c>
      <c r="G135" t="s">
        <v>13</v>
      </c>
      <c r="I135" s="37">
        <v>746.99</v>
      </c>
      <c r="L135" s="37">
        <v>746.99</v>
      </c>
    </row>
    <row r="136" spans="1:14" x14ac:dyDescent="0.25">
      <c r="A136" s="1">
        <v>46049</v>
      </c>
      <c r="B136">
        <v>4</v>
      </c>
      <c r="C136" t="s">
        <v>542</v>
      </c>
      <c r="D136" t="s">
        <v>99</v>
      </c>
      <c r="E136" t="s">
        <v>319</v>
      </c>
      <c r="F136" t="s">
        <v>158</v>
      </c>
      <c r="G136" t="s">
        <v>13</v>
      </c>
      <c r="I136" s="37">
        <v>746.99</v>
      </c>
      <c r="L136" s="37">
        <v>746.99</v>
      </c>
    </row>
    <row r="137" spans="1:14" x14ac:dyDescent="0.25">
      <c r="A137" s="1">
        <v>46049</v>
      </c>
      <c r="B137">
        <v>4</v>
      </c>
      <c r="C137" t="s">
        <v>542</v>
      </c>
      <c r="D137" t="s">
        <v>99</v>
      </c>
      <c r="E137" t="s">
        <v>320</v>
      </c>
      <c r="F137" t="s">
        <v>55</v>
      </c>
      <c r="G137" t="s">
        <v>13</v>
      </c>
      <c r="I137" s="37">
        <v>746.99</v>
      </c>
      <c r="L137" s="37">
        <v>746.99</v>
      </c>
    </row>
    <row r="138" spans="1:14" x14ac:dyDescent="0.25">
      <c r="A138" s="1">
        <v>46049</v>
      </c>
      <c r="B138">
        <v>4</v>
      </c>
      <c r="C138" t="s">
        <v>542</v>
      </c>
      <c r="D138" t="s">
        <v>99</v>
      </c>
      <c r="E138" t="s">
        <v>321</v>
      </c>
      <c r="F138" t="s">
        <v>158</v>
      </c>
      <c r="G138" t="s">
        <v>13</v>
      </c>
      <c r="I138" s="37">
        <v>746.99</v>
      </c>
      <c r="L138" s="37">
        <v>746.99</v>
      </c>
    </row>
    <row r="139" spans="1:14" x14ac:dyDescent="0.25">
      <c r="A139" s="1">
        <v>46049</v>
      </c>
      <c r="B139">
        <v>4</v>
      </c>
      <c r="C139" t="s">
        <v>542</v>
      </c>
      <c r="D139" t="s">
        <v>99</v>
      </c>
      <c r="E139" t="s">
        <v>322</v>
      </c>
      <c r="F139" t="s">
        <v>158</v>
      </c>
      <c r="G139" t="s">
        <v>13</v>
      </c>
      <c r="I139" s="37">
        <v>746.99</v>
      </c>
      <c r="L139" s="37">
        <v>746.99</v>
      </c>
    </row>
    <row r="140" spans="1:14" x14ac:dyDescent="0.25">
      <c r="A140" s="1">
        <v>46049</v>
      </c>
      <c r="B140">
        <v>4</v>
      </c>
      <c r="C140" t="s">
        <v>542</v>
      </c>
      <c r="D140" t="s">
        <v>99</v>
      </c>
      <c r="E140" t="s">
        <v>323</v>
      </c>
      <c r="F140" t="s">
        <v>158</v>
      </c>
      <c r="G140" t="s">
        <v>13</v>
      </c>
      <c r="I140" s="37">
        <v>746.99</v>
      </c>
      <c r="L140" s="37">
        <v>746.99</v>
      </c>
    </row>
    <row r="141" spans="1:14" x14ac:dyDescent="0.25">
      <c r="A141" s="1">
        <v>46049</v>
      </c>
      <c r="B141">
        <v>4</v>
      </c>
      <c r="C141" t="s">
        <v>542</v>
      </c>
      <c r="D141" t="s">
        <v>99</v>
      </c>
      <c r="E141" t="s">
        <v>324</v>
      </c>
      <c r="F141" t="s">
        <v>158</v>
      </c>
      <c r="G141" t="s">
        <v>13</v>
      </c>
      <c r="I141" s="37">
        <v>746</v>
      </c>
      <c r="L141" s="37">
        <v>746</v>
      </c>
    </row>
    <row r="142" spans="1:14" x14ac:dyDescent="0.25">
      <c r="A142" s="1">
        <v>46049</v>
      </c>
      <c r="B142">
        <v>4</v>
      </c>
      <c r="C142" t="s">
        <v>542</v>
      </c>
      <c r="D142" t="s">
        <v>99</v>
      </c>
      <c r="E142" t="s">
        <v>325</v>
      </c>
      <c r="F142" t="s">
        <v>158</v>
      </c>
      <c r="G142" t="s">
        <v>13</v>
      </c>
      <c r="I142" s="37">
        <v>746.99</v>
      </c>
      <c r="L142" s="37">
        <v>746.99</v>
      </c>
    </row>
    <row r="143" spans="1:14" x14ac:dyDescent="0.25">
      <c r="A143" s="1">
        <v>46049</v>
      </c>
      <c r="B143">
        <v>4</v>
      </c>
      <c r="C143" t="s">
        <v>542</v>
      </c>
      <c r="D143" t="s">
        <v>99</v>
      </c>
      <c r="E143" t="s">
        <v>326</v>
      </c>
      <c r="F143" t="s">
        <v>52</v>
      </c>
      <c r="G143" t="s">
        <v>13</v>
      </c>
      <c r="I143" s="37">
        <v>1251.99</v>
      </c>
      <c r="L143" s="37">
        <v>1251.99</v>
      </c>
    </row>
    <row r="144" spans="1:14" x14ac:dyDescent="0.25">
      <c r="A144" s="1">
        <v>46049</v>
      </c>
      <c r="B144">
        <v>4</v>
      </c>
      <c r="C144" t="s">
        <v>542</v>
      </c>
      <c r="D144" t="s">
        <v>99</v>
      </c>
      <c r="E144" t="s">
        <v>327</v>
      </c>
      <c r="F144" t="s">
        <v>158</v>
      </c>
      <c r="G144" t="s">
        <v>22</v>
      </c>
      <c r="I144" s="37">
        <v>746.99</v>
      </c>
      <c r="L144" s="37">
        <v>746.99</v>
      </c>
    </row>
    <row r="145" spans="1:14" x14ac:dyDescent="0.25">
      <c r="A145" s="1">
        <v>46049</v>
      </c>
      <c r="B145">
        <v>4</v>
      </c>
      <c r="C145" t="s">
        <v>542</v>
      </c>
      <c r="D145" t="s">
        <v>99</v>
      </c>
      <c r="E145" t="s">
        <v>328</v>
      </c>
      <c r="F145" t="s">
        <v>55</v>
      </c>
      <c r="G145" t="s">
        <v>13</v>
      </c>
      <c r="I145" s="37">
        <v>746.99</v>
      </c>
      <c r="L145" s="37">
        <v>746.99</v>
      </c>
    </row>
    <row r="146" spans="1:14" x14ac:dyDescent="0.25">
      <c r="A146" s="1">
        <v>46049</v>
      </c>
      <c r="B146">
        <v>4</v>
      </c>
      <c r="C146" t="s">
        <v>541</v>
      </c>
      <c r="D146" t="s">
        <v>10</v>
      </c>
      <c r="E146" t="s">
        <v>329</v>
      </c>
      <c r="F146" t="s">
        <v>158</v>
      </c>
      <c r="G146" t="s">
        <v>104</v>
      </c>
      <c r="H146" t="s">
        <v>330</v>
      </c>
      <c r="I146" s="37">
        <v>746.99</v>
      </c>
      <c r="L146" s="37">
        <v>791.99</v>
      </c>
      <c r="N146" s="37">
        <v>746.99</v>
      </c>
    </row>
    <row r="147" spans="1:14" x14ac:dyDescent="0.25">
      <c r="A147" s="1">
        <v>46049</v>
      </c>
      <c r="B147">
        <v>4</v>
      </c>
      <c r="C147" t="s">
        <v>542</v>
      </c>
      <c r="D147" t="s">
        <v>234</v>
      </c>
      <c r="E147" t="s">
        <v>331</v>
      </c>
      <c r="F147" t="s">
        <v>12</v>
      </c>
      <c r="G147" t="s">
        <v>13</v>
      </c>
      <c r="I147" s="37">
        <v>746.99</v>
      </c>
      <c r="L147" s="37">
        <v>746.99</v>
      </c>
    </row>
    <row r="148" spans="1:14" x14ac:dyDescent="0.25">
      <c r="A148" s="1">
        <v>46049</v>
      </c>
      <c r="B148">
        <v>4</v>
      </c>
      <c r="C148" t="s">
        <v>542</v>
      </c>
      <c r="D148" t="s">
        <v>99</v>
      </c>
      <c r="E148" t="s">
        <v>332</v>
      </c>
      <c r="F148" t="s">
        <v>52</v>
      </c>
      <c r="G148" t="s">
        <v>77</v>
      </c>
      <c r="I148" s="37">
        <v>1251.99</v>
      </c>
      <c r="L148" s="37">
        <v>1251.99</v>
      </c>
      <c r="M148" s="37">
        <v>20</v>
      </c>
    </row>
    <row r="149" spans="1:14" x14ac:dyDescent="0.25">
      <c r="A149" s="1">
        <v>46049</v>
      </c>
      <c r="B149">
        <v>4</v>
      </c>
      <c r="C149" t="s">
        <v>542</v>
      </c>
      <c r="D149" t="s">
        <v>99</v>
      </c>
      <c r="E149" t="s">
        <v>333</v>
      </c>
      <c r="F149" t="s">
        <v>158</v>
      </c>
      <c r="G149" t="s">
        <v>22</v>
      </c>
      <c r="I149" s="37">
        <v>746.99</v>
      </c>
      <c r="L149" s="37">
        <v>746.99</v>
      </c>
    </row>
    <row r="150" spans="1:14" x14ac:dyDescent="0.25">
      <c r="A150" s="1">
        <v>46049</v>
      </c>
      <c r="B150">
        <v>4</v>
      </c>
      <c r="C150" t="s">
        <v>542</v>
      </c>
      <c r="D150" t="s">
        <v>99</v>
      </c>
      <c r="E150" t="s">
        <v>334</v>
      </c>
      <c r="F150" t="s">
        <v>28</v>
      </c>
      <c r="G150" t="s">
        <v>13</v>
      </c>
      <c r="I150" s="37">
        <v>931.99</v>
      </c>
      <c r="L150" s="37">
        <v>931.99</v>
      </c>
    </row>
    <row r="151" spans="1:14" x14ac:dyDescent="0.25">
      <c r="A151" s="1">
        <v>46049</v>
      </c>
      <c r="B151">
        <v>4</v>
      </c>
      <c r="C151" t="s">
        <v>542</v>
      </c>
      <c r="D151" t="s">
        <v>89</v>
      </c>
      <c r="E151" t="s">
        <v>335</v>
      </c>
      <c r="F151" t="s">
        <v>158</v>
      </c>
      <c r="G151" t="s">
        <v>104</v>
      </c>
      <c r="I151" s="37">
        <v>746.99</v>
      </c>
      <c r="L151" s="37">
        <v>746.99</v>
      </c>
      <c r="M151" s="37">
        <v>15</v>
      </c>
    </row>
    <row r="152" spans="1:14" x14ac:dyDescent="0.25">
      <c r="A152" s="1">
        <v>46049</v>
      </c>
      <c r="B152">
        <v>4</v>
      </c>
      <c r="C152" t="s">
        <v>542</v>
      </c>
      <c r="D152" t="s">
        <v>336</v>
      </c>
      <c r="E152" t="s">
        <v>337</v>
      </c>
      <c r="F152" t="s">
        <v>41</v>
      </c>
      <c r="G152" t="s">
        <v>13</v>
      </c>
      <c r="I152" s="37">
        <v>746.99</v>
      </c>
      <c r="L152" s="37">
        <v>746.99</v>
      </c>
    </row>
    <row r="153" spans="1:14" x14ac:dyDescent="0.25">
      <c r="A153" s="1">
        <v>46049</v>
      </c>
      <c r="B153">
        <v>4</v>
      </c>
      <c r="C153" t="s">
        <v>542</v>
      </c>
      <c r="D153" t="s">
        <v>336</v>
      </c>
      <c r="E153" t="s">
        <v>338</v>
      </c>
      <c r="F153" t="s">
        <v>55</v>
      </c>
      <c r="G153" t="s">
        <v>13</v>
      </c>
      <c r="I153" s="37">
        <v>746.99</v>
      </c>
      <c r="L153" s="37">
        <v>746.99</v>
      </c>
    </row>
    <row r="154" spans="1:14" x14ac:dyDescent="0.25">
      <c r="A154" s="1">
        <v>46049</v>
      </c>
      <c r="B154">
        <v>4</v>
      </c>
      <c r="C154" t="s">
        <v>542</v>
      </c>
      <c r="D154" t="s">
        <v>336</v>
      </c>
      <c r="E154" t="s">
        <v>339</v>
      </c>
      <c r="F154" t="s">
        <v>55</v>
      </c>
      <c r="G154" t="s">
        <v>340</v>
      </c>
      <c r="I154" s="37">
        <v>746.99</v>
      </c>
      <c r="L154" s="37">
        <v>746.99</v>
      </c>
    </row>
    <row r="155" spans="1:14" x14ac:dyDescent="0.25">
      <c r="A155" s="1">
        <v>46049</v>
      </c>
      <c r="B155">
        <v>4</v>
      </c>
      <c r="C155" t="s">
        <v>542</v>
      </c>
      <c r="D155" t="s">
        <v>336</v>
      </c>
      <c r="E155" t="s">
        <v>341</v>
      </c>
      <c r="F155" t="s">
        <v>52</v>
      </c>
      <c r="G155" t="s">
        <v>183</v>
      </c>
      <c r="I155" s="37">
        <v>1251.99</v>
      </c>
      <c r="L155" s="37">
        <v>1251.99</v>
      </c>
    </row>
    <row r="156" spans="1:14" x14ac:dyDescent="0.25">
      <c r="A156" s="1">
        <v>46049</v>
      </c>
      <c r="B156">
        <v>4</v>
      </c>
      <c r="C156" t="s">
        <v>541</v>
      </c>
      <c r="D156" t="s">
        <v>10</v>
      </c>
      <c r="E156" t="s">
        <v>342</v>
      </c>
      <c r="F156" t="s">
        <v>41</v>
      </c>
      <c r="G156" t="s">
        <v>13</v>
      </c>
      <c r="H156" t="s">
        <v>343</v>
      </c>
      <c r="I156" s="37">
        <v>746.99</v>
      </c>
      <c r="L156" s="37">
        <v>970</v>
      </c>
      <c r="N156" s="37">
        <v>746.99</v>
      </c>
    </row>
    <row r="157" spans="1:14" x14ac:dyDescent="0.25">
      <c r="A157" s="1">
        <v>46049</v>
      </c>
      <c r="B157">
        <v>4</v>
      </c>
      <c r="C157" t="s">
        <v>542</v>
      </c>
      <c r="D157" t="s">
        <v>99</v>
      </c>
      <c r="E157" t="s">
        <v>344</v>
      </c>
      <c r="F157" t="s">
        <v>116</v>
      </c>
      <c r="G157" t="s">
        <v>13</v>
      </c>
      <c r="I157" s="37">
        <v>746.99</v>
      </c>
      <c r="L157" s="37">
        <v>746.99</v>
      </c>
    </row>
    <row r="158" spans="1:14" x14ac:dyDescent="0.25">
      <c r="A158" s="1">
        <v>46049</v>
      </c>
      <c r="B158">
        <v>4</v>
      </c>
      <c r="C158" t="s">
        <v>541</v>
      </c>
      <c r="D158" t="s">
        <v>10</v>
      </c>
      <c r="E158" t="s">
        <v>345</v>
      </c>
      <c r="F158" t="s">
        <v>12</v>
      </c>
      <c r="G158" t="s">
        <v>346</v>
      </c>
      <c r="I158" s="37">
        <v>746.99</v>
      </c>
      <c r="L158" s="37">
        <v>746.99</v>
      </c>
      <c r="N158" s="37">
        <v>746.99</v>
      </c>
    </row>
    <row r="159" spans="1:14" x14ac:dyDescent="0.25">
      <c r="A159" s="1">
        <v>46049</v>
      </c>
      <c r="B159">
        <v>4</v>
      </c>
      <c r="C159" t="s">
        <v>541</v>
      </c>
      <c r="D159" t="s">
        <v>10</v>
      </c>
      <c r="E159" t="s">
        <v>347</v>
      </c>
      <c r="F159" t="s">
        <v>348</v>
      </c>
      <c r="G159" t="s">
        <v>349</v>
      </c>
      <c r="I159" s="37">
        <v>801.99</v>
      </c>
      <c r="L159" s="37">
        <v>801.99</v>
      </c>
      <c r="N159" s="37">
        <v>801.99</v>
      </c>
    </row>
    <row r="160" spans="1:14" x14ac:dyDescent="0.25">
      <c r="A160" s="1">
        <v>46049</v>
      </c>
      <c r="B160">
        <v>4</v>
      </c>
      <c r="C160" t="s">
        <v>541</v>
      </c>
      <c r="D160" t="s">
        <v>10</v>
      </c>
      <c r="E160" t="s">
        <v>350</v>
      </c>
      <c r="F160" t="s">
        <v>12</v>
      </c>
      <c r="G160" t="s">
        <v>349</v>
      </c>
      <c r="I160" s="37">
        <v>801.99</v>
      </c>
      <c r="L160" s="37">
        <v>801.99</v>
      </c>
      <c r="N160" s="37">
        <v>801.99</v>
      </c>
    </row>
    <row r="161" spans="1:14" x14ac:dyDescent="0.25">
      <c r="A161" s="1">
        <v>46049</v>
      </c>
      <c r="B161">
        <v>4</v>
      </c>
      <c r="C161" t="s">
        <v>541</v>
      </c>
      <c r="D161" t="s">
        <v>10</v>
      </c>
      <c r="E161" t="s">
        <v>351</v>
      </c>
      <c r="F161" t="s">
        <v>116</v>
      </c>
      <c r="G161" t="s">
        <v>346</v>
      </c>
      <c r="I161" s="37">
        <v>746.99</v>
      </c>
      <c r="J161" s="37">
        <v>60</v>
      </c>
      <c r="L161" s="37">
        <v>806.99</v>
      </c>
      <c r="N161" s="37">
        <v>806.99</v>
      </c>
    </row>
    <row r="162" spans="1:14" x14ac:dyDescent="0.25">
      <c r="A162" s="1">
        <v>46049</v>
      </c>
      <c r="B162">
        <v>4</v>
      </c>
      <c r="C162" t="s">
        <v>541</v>
      </c>
      <c r="D162" t="s">
        <v>10</v>
      </c>
      <c r="E162" t="s">
        <v>352</v>
      </c>
      <c r="F162" t="s">
        <v>158</v>
      </c>
      <c r="G162" t="s">
        <v>353</v>
      </c>
      <c r="I162" s="37">
        <v>746.99</v>
      </c>
      <c r="L162" s="37">
        <v>746.99</v>
      </c>
      <c r="N162" s="37">
        <v>746.99</v>
      </c>
    </row>
    <row r="163" spans="1:14" x14ac:dyDescent="0.25">
      <c r="A163" s="1">
        <v>46049</v>
      </c>
      <c r="B163">
        <v>4</v>
      </c>
      <c r="C163" t="s">
        <v>541</v>
      </c>
      <c r="D163" t="s">
        <v>10</v>
      </c>
      <c r="E163" t="s">
        <v>354</v>
      </c>
      <c r="F163" t="s">
        <v>230</v>
      </c>
      <c r="G163" t="s">
        <v>346</v>
      </c>
      <c r="I163" s="37">
        <v>746.99</v>
      </c>
      <c r="K163" s="37">
        <v>105.99</v>
      </c>
      <c r="L163" s="37">
        <v>641</v>
      </c>
      <c r="N163" s="37">
        <v>641</v>
      </c>
    </row>
    <row r="164" spans="1:14" x14ac:dyDescent="0.25">
      <c r="A164" s="1">
        <v>46049</v>
      </c>
      <c r="B164">
        <v>4</v>
      </c>
      <c r="C164" t="s">
        <v>541</v>
      </c>
      <c r="D164" t="s">
        <v>10</v>
      </c>
      <c r="E164" t="s">
        <v>355</v>
      </c>
      <c r="F164" t="s">
        <v>158</v>
      </c>
      <c r="G164" t="s">
        <v>346</v>
      </c>
      <c r="I164" s="37">
        <v>746.99</v>
      </c>
      <c r="K164" s="37">
        <v>1.99</v>
      </c>
      <c r="L164" s="37">
        <v>745</v>
      </c>
      <c r="N164" s="37">
        <v>745</v>
      </c>
    </row>
    <row r="165" spans="1:14" x14ac:dyDescent="0.25">
      <c r="A165" s="1">
        <v>46049</v>
      </c>
      <c r="B165">
        <v>4</v>
      </c>
      <c r="C165" t="s">
        <v>541</v>
      </c>
      <c r="D165" t="s">
        <v>10</v>
      </c>
      <c r="E165" t="s">
        <v>356</v>
      </c>
      <c r="F165" t="s">
        <v>158</v>
      </c>
      <c r="G165" t="s">
        <v>346</v>
      </c>
      <c r="I165" s="37">
        <v>746.99</v>
      </c>
      <c r="K165" s="37">
        <v>212.86</v>
      </c>
      <c r="L165" s="37">
        <v>534.13</v>
      </c>
      <c r="N165" s="37">
        <v>534.13</v>
      </c>
    </row>
    <row r="166" spans="1:14" x14ac:dyDescent="0.25">
      <c r="A166" s="1">
        <v>46049</v>
      </c>
      <c r="B166">
        <v>4</v>
      </c>
      <c r="C166" t="s">
        <v>541</v>
      </c>
      <c r="D166" t="s">
        <v>10</v>
      </c>
      <c r="E166" t="s">
        <v>357</v>
      </c>
      <c r="F166" t="s">
        <v>55</v>
      </c>
      <c r="G166" t="s">
        <v>346</v>
      </c>
      <c r="I166" s="37">
        <v>746.99</v>
      </c>
      <c r="J166" s="37">
        <v>30</v>
      </c>
      <c r="L166" s="37">
        <v>776.99</v>
      </c>
      <c r="N166" s="37">
        <v>776.99</v>
      </c>
    </row>
    <row r="167" spans="1:14" x14ac:dyDescent="0.25">
      <c r="A167" s="1">
        <v>46049</v>
      </c>
      <c r="B167">
        <v>4</v>
      </c>
      <c r="C167" t="s">
        <v>541</v>
      </c>
      <c r="D167" t="s">
        <v>10</v>
      </c>
      <c r="E167" t="s">
        <v>358</v>
      </c>
      <c r="F167" t="s">
        <v>52</v>
      </c>
      <c r="G167" t="s">
        <v>359</v>
      </c>
      <c r="I167" s="37">
        <v>1251.99</v>
      </c>
      <c r="K167" s="37">
        <v>1.99</v>
      </c>
      <c r="L167" s="37">
        <v>1250</v>
      </c>
      <c r="N167" s="37">
        <v>1250</v>
      </c>
    </row>
    <row r="168" spans="1:14" x14ac:dyDescent="0.25">
      <c r="A168" s="1">
        <v>46049</v>
      </c>
      <c r="B168">
        <v>4</v>
      </c>
      <c r="C168" t="s">
        <v>541</v>
      </c>
      <c r="D168" t="s">
        <v>10</v>
      </c>
      <c r="E168" t="s">
        <v>360</v>
      </c>
      <c r="F168" t="s">
        <v>211</v>
      </c>
      <c r="G168" t="s">
        <v>346</v>
      </c>
      <c r="I168" s="37">
        <v>746.99</v>
      </c>
      <c r="K168" s="37">
        <v>0.5</v>
      </c>
      <c r="L168" s="37">
        <v>746.49</v>
      </c>
      <c r="N168" s="37">
        <v>746.49</v>
      </c>
    </row>
    <row r="169" spans="1:14" x14ac:dyDescent="0.25">
      <c r="A169" s="1">
        <v>46049</v>
      </c>
      <c r="B169">
        <v>4</v>
      </c>
      <c r="C169" t="s">
        <v>541</v>
      </c>
      <c r="D169" t="s">
        <v>10</v>
      </c>
      <c r="E169" t="s">
        <v>361</v>
      </c>
      <c r="F169" t="s">
        <v>52</v>
      </c>
      <c r="G169" t="s">
        <v>346</v>
      </c>
      <c r="I169" s="37">
        <v>1251.99</v>
      </c>
      <c r="J169" s="37">
        <v>60</v>
      </c>
      <c r="L169" s="37">
        <v>1311.99</v>
      </c>
      <c r="N169" s="37">
        <v>1200</v>
      </c>
    </row>
    <row r="170" spans="1:14" x14ac:dyDescent="0.25">
      <c r="A170" s="1">
        <v>46049</v>
      </c>
      <c r="B170">
        <v>4</v>
      </c>
      <c r="C170" t="s">
        <v>541</v>
      </c>
      <c r="D170" t="s">
        <v>10</v>
      </c>
      <c r="E170" t="s">
        <v>362</v>
      </c>
      <c r="F170" t="s">
        <v>52</v>
      </c>
      <c r="G170" t="s">
        <v>363</v>
      </c>
      <c r="I170" s="37">
        <v>1251.99</v>
      </c>
      <c r="J170" s="37">
        <v>60</v>
      </c>
      <c r="L170" s="37">
        <v>1311.99</v>
      </c>
      <c r="N170" s="37">
        <v>1311.99</v>
      </c>
    </row>
    <row r="171" spans="1:14" x14ac:dyDescent="0.25">
      <c r="A171" s="1">
        <v>46049</v>
      </c>
      <c r="B171">
        <v>4</v>
      </c>
      <c r="C171" t="s">
        <v>541</v>
      </c>
      <c r="D171" t="s">
        <v>10</v>
      </c>
      <c r="E171" t="s">
        <v>364</v>
      </c>
      <c r="F171" t="s">
        <v>365</v>
      </c>
      <c r="G171" t="s">
        <v>346</v>
      </c>
      <c r="I171" s="37">
        <v>801.99</v>
      </c>
      <c r="L171" s="37">
        <v>801.99</v>
      </c>
      <c r="N171" s="37">
        <v>801.99</v>
      </c>
    </row>
    <row r="172" spans="1:14" x14ac:dyDescent="0.25">
      <c r="A172" s="1">
        <v>46049</v>
      </c>
      <c r="B172">
        <v>4</v>
      </c>
      <c r="C172" t="s">
        <v>541</v>
      </c>
      <c r="D172" t="s">
        <v>10</v>
      </c>
      <c r="E172" t="s">
        <v>366</v>
      </c>
      <c r="F172" t="s">
        <v>52</v>
      </c>
      <c r="G172" t="s">
        <v>346</v>
      </c>
      <c r="I172" s="37">
        <v>1251.99</v>
      </c>
      <c r="L172" s="37">
        <v>1251.99</v>
      </c>
      <c r="N172" s="37">
        <v>1251.99</v>
      </c>
    </row>
    <row r="173" spans="1:14" x14ac:dyDescent="0.25">
      <c r="A173" s="1">
        <v>46049</v>
      </c>
      <c r="B173">
        <v>4</v>
      </c>
      <c r="C173" t="s">
        <v>541</v>
      </c>
      <c r="D173" t="s">
        <v>336</v>
      </c>
      <c r="E173" t="s">
        <v>367</v>
      </c>
      <c r="F173" t="s">
        <v>52</v>
      </c>
      <c r="G173" t="s">
        <v>346</v>
      </c>
      <c r="I173" s="37">
        <v>1251.99</v>
      </c>
      <c r="J173" s="37">
        <v>60</v>
      </c>
      <c r="L173" s="37">
        <v>1311.99</v>
      </c>
      <c r="N173" s="37">
        <v>850</v>
      </c>
    </row>
    <row r="174" spans="1:14" x14ac:dyDescent="0.25">
      <c r="A174" s="1">
        <v>46049</v>
      </c>
      <c r="B174">
        <v>4</v>
      </c>
      <c r="C174" t="s">
        <v>541</v>
      </c>
      <c r="D174" t="s">
        <v>10</v>
      </c>
      <c r="E174" t="s">
        <v>368</v>
      </c>
      <c r="F174" t="s">
        <v>369</v>
      </c>
      <c r="G174" t="s">
        <v>370</v>
      </c>
      <c r="I174" s="37">
        <v>981.99</v>
      </c>
      <c r="J174" s="37">
        <v>0.01</v>
      </c>
      <c r="L174" s="37">
        <v>982</v>
      </c>
      <c r="N174" s="37">
        <v>982</v>
      </c>
    </row>
    <row r="175" spans="1:14" x14ac:dyDescent="0.25">
      <c r="A175" s="1">
        <v>46049</v>
      </c>
      <c r="B175">
        <v>4</v>
      </c>
      <c r="C175" t="s">
        <v>541</v>
      </c>
      <c r="D175" t="s">
        <v>10</v>
      </c>
      <c r="E175" t="s">
        <v>371</v>
      </c>
      <c r="F175" t="s">
        <v>277</v>
      </c>
      <c r="G175" t="s">
        <v>370</v>
      </c>
      <c r="I175" s="37">
        <v>1051.99</v>
      </c>
      <c r="L175" s="37">
        <v>1051.99</v>
      </c>
      <c r="N175" s="37">
        <v>1051.99</v>
      </c>
    </row>
    <row r="176" spans="1:14" x14ac:dyDescent="0.25">
      <c r="A176" s="1">
        <v>46049</v>
      </c>
      <c r="B176">
        <v>4</v>
      </c>
      <c r="C176" t="s">
        <v>541</v>
      </c>
      <c r="D176" t="s">
        <v>10</v>
      </c>
      <c r="E176" t="s">
        <v>372</v>
      </c>
      <c r="F176" t="s">
        <v>55</v>
      </c>
      <c r="G176" t="s">
        <v>373</v>
      </c>
      <c r="I176" s="37">
        <v>746.99</v>
      </c>
      <c r="J176" s="37">
        <v>30</v>
      </c>
      <c r="L176" s="37">
        <v>776.99</v>
      </c>
      <c r="N176" s="37">
        <v>776.99</v>
      </c>
    </row>
    <row r="177" spans="1:14" x14ac:dyDescent="0.25">
      <c r="A177" s="1">
        <v>46049</v>
      </c>
      <c r="B177">
        <v>4</v>
      </c>
      <c r="C177" t="s">
        <v>541</v>
      </c>
      <c r="D177" t="s">
        <v>10</v>
      </c>
      <c r="E177" t="s">
        <v>374</v>
      </c>
      <c r="F177" t="s">
        <v>158</v>
      </c>
      <c r="G177" t="s">
        <v>346</v>
      </c>
      <c r="I177" s="37">
        <v>746.99</v>
      </c>
      <c r="J177" s="37">
        <v>60</v>
      </c>
      <c r="K177" s="37">
        <v>106.43</v>
      </c>
      <c r="L177" s="37">
        <v>700.56</v>
      </c>
      <c r="N177" s="37">
        <v>700.56</v>
      </c>
    </row>
    <row r="178" spans="1:14" x14ac:dyDescent="0.25">
      <c r="A178" s="1">
        <v>46049</v>
      </c>
      <c r="B178">
        <v>4</v>
      </c>
      <c r="C178" t="s">
        <v>541</v>
      </c>
      <c r="D178" t="s">
        <v>10</v>
      </c>
      <c r="E178" t="s">
        <v>375</v>
      </c>
      <c r="F178" t="s">
        <v>52</v>
      </c>
      <c r="G178" t="s">
        <v>346</v>
      </c>
      <c r="I178" s="37">
        <v>1251.99</v>
      </c>
      <c r="K178" s="37">
        <v>1251.99</v>
      </c>
      <c r="L178" s="37">
        <v>0</v>
      </c>
    </row>
    <row r="179" spans="1:14" x14ac:dyDescent="0.25">
      <c r="A179" s="1">
        <v>46049</v>
      </c>
      <c r="B179">
        <v>4</v>
      </c>
      <c r="C179" t="s">
        <v>541</v>
      </c>
      <c r="D179" t="s">
        <v>10</v>
      </c>
      <c r="E179" t="s">
        <v>376</v>
      </c>
      <c r="F179" t="s">
        <v>52</v>
      </c>
      <c r="G179" t="s">
        <v>346</v>
      </c>
      <c r="I179" s="37">
        <v>1251.99</v>
      </c>
      <c r="J179" s="37">
        <v>28.01</v>
      </c>
      <c r="L179" s="37">
        <v>1280</v>
      </c>
      <c r="N179" s="37">
        <v>1280</v>
      </c>
    </row>
    <row r="180" spans="1:14" x14ac:dyDescent="0.25">
      <c r="A180" s="1">
        <v>46049</v>
      </c>
      <c r="B180">
        <v>4</v>
      </c>
      <c r="C180" t="s">
        <v>541</v>
      </c>
      <c r="D180" t="s">
        <v>10</v>
      </c>
      <c r="E180" t="s">
        <v>377</v>
      </c>
      <c r="F180" t="s">
        <v>69</v>
      </c>
      <c r="G180" t="s">
        <v>378</v>
      </c>
      <c r="I180" s="37">
        <v>746.99</v>
      </c>
      <c r="J180" s="37">
        <v>3.01</v>
      </c>
      <c r="L180" s="37">
        <v>750</v>
      </c>
      <c r="N180" s="37">
        <v>750</v>
      </c>
    </row>
    <row r="181" spans="1:14" x14ac:dyDescent="0.25">
      <c r="A181" s="1">
        <v>46049</v>
      </c>
      <c r="B181">
        <v>4</v>
      </c>
      <c r="C181" t="s">
        <v>541</v>
      </c>
      <c r="D181" t="s">
        <v>10</v>
      </c>
      <c r="E181" t="s">
        <v>379</v>
      </c>
      <c r="F181" t="s">
        <v>41</v>
      </c>
      <c r="G181" t="s">
        <v>380</v>
      </c>
      <c r="I181" s="37">
        <v>746.99</v>
      </c>
      <c r="J181" s="37">
        <v>0.01</v>
      </c>
      <c r="L181" s="37">
        <v>747</v>
      </c>
      <c r="N181" s="37">
        <v>747</v>
      </c>
    </row>
    <row r="182" spans="1:14" x14ac:dyDescent="0.25">
      <c r="A182" s="1">
        <v>46049</v>
      </c>
      <c r="B182">
        <v>4</v>
      </c>
      <c r="C182" t="s">
        <v>541</v>
      </c>
      <c r="D182" t="s">
        <v>10</v>
      </c>
      <c r="E182" t="s">
        <v>381</v>
      </c>
      <c r="F182" t="s">
        <v>41</v>
      </c>
      <c r="G182" t="s">
        <v>380</v>
      </c>
      <c r="I182" s="37">
        <v>746.99</v>
      </c>
      <c r="J182" s="37">
        <v>0.01</v>
      </c>
      <c r="L182" s="37">
        <v>747</v>
      </c>
      <c r="N182" s="37">
        <v>747</v>
      </c>
    </row>
    <row r="183" spans="1:14" x14ac:dyDescent="0.25">
      <c r="A183" s="1">
        <v>46049</v>
      </c>
      <c r="B183">
        <v>4</v>
      </c>
      <c r="C183" t="s">
        <v>541</v>
      </c>
      <c r="D183" t="s">
        <v>10</v>
      </c>
      <c r="E183" t="s">
        <v>382</v>
      </c>
      <c r="F183" t="s">
        <v>383</v>
      </c>
      <c r="G183" t="s">
        <v>349</v>
      </c>
      <c r="I183" s="37">
        <v>981.99</v>
      </c>
      <c r="L183" s="37">
        <v>981.99</v>
      </c>
      <c r="N183" s="37">
        <v>981.99</v>
      </c>
    </row>
    <row r="184" spans="1:14" x14ac:dyDescent="0.25">
      <c r="A184" s="1">
        <v>46049</v>
      </c>
      <c r="B184">
        <v>4</v>
      </c>
      <c r="C184" t="s">
        <v>541</v>
      </c>
      <c r="D184" t="s">
        <v>10</v>
      </c>
      <c r="E184" t="s">
        <v>384</v>
      </c>
      <c r="F184" t="s">
        <v>385</v>
      </c>
      <c r="G184" t="s">
        <v>349</v>
      </c>
      <c r="I184" s="37">
        <v>801.99</v>
      </c>
      <c r="J184" s="37">
        <v>30.01</v>
      </c>
      <c r="L184" s="37">
        <v>832</v>
      </c>
      <c r="N184" s="37">
        <v>832</v>
      </c>
    </row>
    <row r="185" spans="1:14" x14ac:dyDescent="0.25">
      <c r="A185" s="1">
        <v>46049</v>
      </c>
      <c r="B185">
        <v>4</v>
      </c>
      <c r="C185" t="s">
        <v>541</v>
      </c>
      <c r="D185" t="s">
        <v>10</v>
      </c>
      <c r="E185" t="s">
        <v>386</v>
      </c>
      <c r="F185" t="s">
        <v>387</v>
      </c>
      <c r="G185" t="s">
        <v>349</v>
      </c>
      <c r="I185" s="37">
        <v>801.99</v>
      </c>
      <c r="K185" s="37">
        <v>180</v>
      </c>
      <c r="L185" s="37">
        <v>621.99</v>
      </c>
      <c r="N185" s="37">
        <v>621.99</v>
      </c>
    </row>
    <row r="186" spans="1:14" x14ac:dyDescent="0.25">
      <c r="A186" s="1">
        <v>46049</v>
      </c>
      <c r="B186">
        <v>4</v>
      </c>
      <c r="C186" t="s">
        <v>541</v>
      </c>
      <c r="D186" t="s">
        <v>10</v>
      </c>
      <c r="E186" t="s">
        <v>388</v>
      </c>
      <c r="F186" t="s">
        <v>41</v>
      </c>
      <c r="G186" t="s">
        <v>346</v>
      </c>
      <c r="I186" s="37">
        <v>746.99</v>
      </c>
      <c r="J186" s="37">
        <v>30.01</v>
      </c>
      <c r="L186" s="37">
        <v>777</v>
      </c>
      <c r="N186" s="37">
        <v>777</v>
      </c>
    </row>
    <row r="187" spans="1:14" x14ac:dyDescent="0.25">
      <c r="A187" s="1">
        <v>46049</v>
      </c>
      <c r="B187">
        <v>4</v>
      </c>
      <c r="C187" t="s">
        <v>541</v>
      </c>
      <c r="D187" t="s">
        <v>10</v>
      </c>
      <c r="E187" t="s">
        <v>389</v>
      </c>
      <c r="F187" t="s">
        <v>12</v>
      </c>
      <c r="G187" t="s">
        <v>346</v>
      </c>
      <c r="I187" s="37">
        <v>746.99</v>
      </c>
      <c r="J187" s="37">
        <v>30</v>
      </c>
      <c r="L187" s="37">
        <v>776.99</v>
      </c>
      <c r="N187" s="37">
        <v>776.99</v>
      </c>
    </row>
    <row r="188" spans="1:14" x14ac:dyDescent="0.25">
      <c r="A188" s="1">
        <v>46049</v>
      </c>
      <c r="B188">
        <v>4</v>
      </c>
      <c r="C188" t="s">
        <v>541</v>
      </c>
      <c r="D188" t="s">
        <v>10</v>
      </c>
      <c r="E188" t="s">
        <v>390</v>
      </c>
      <c r="F188" t="s">
        <v>12</v>
      </c>
      <c r="G188" t="s">
        <v>346</v>
      </c>
      <c r="I188" s="37">
        <v>746.99</v>
      </c>
      <c r="J188" s="37">
        <v>30</v>
      </c>
      <c r="L188" s="37">
        <v>776.99</v>
      </c>
      <c r="N188" s="37">
        <v>776.99</v>
      </c>
    </row>
    <row r="189" spans="1:14" x14ac:dyDescent="0.25">
      <c r="A189" s="1">
        <v>46049</v>
      </c>
      <c r="B189">
        <v>4</v>
      </c>
      <c r="C189" t="s">
        <v>541</v>
      </c>
      <c r="D189" t="s">
        <v>10</v>
      </c>
      <c r="E189" t="s">
        <v>391</v>
      </c>
      <c r="F189" t="s">
        <v>116</v>
      </c>
      <c r="G189" t="s">
        <v>346</v>
      </c>
      <c r="I189" s="37">
        <v>746.99</v>
      </c>
      <c r="K189" s="37">
        <v>640.27</v>
      </c>
      <c r="L189" s="37">
        <v>106.72</v>
      </c>
      <c r="N189" s="37">
        <v>106.72</v>
      </c>
    </row>
    <row r="190" spans="1:14" x14ac:dyDescent="0.25">
      <c r="A190" s="1">
        <v>46049</v>
      </c>
      <c r="B190">
        <v>4</v>
      </c>
      <c r="C190" t="s">
        <v>541</v>
      </c>
      <c r="D190" t="s">
        <v>10</v>
      </c>
      <c r="E190" t="s">
        <v>392</v>
      </c>
      <c r="F190" t="s">
        <v>393</v>
      </c>
      <c r="G190" t="s">
        <v>349</v>
      </c>
      <c r="I190" s="37">
        <v>896.99</v>
      </c>
      <c r="K190" s="37">
        <v>1.99</v>
      </c>
      <c r="L190" s="37">
        <v>895</v>
      </c>
      <c r="N190" s="37">
        <v>895</v>
      </c>
    </row>
    <row r="191" spans="1:14" x14ac:dyDescent="0.25">
      <c r="A191" s="1">
        <v>46049</v>
      </c>
      <c r="B191">
        <v>4</v>
      </c>
      <c r="C191" t="s">
        <v>541</v>
      </c>
      <c r="D191" t="s">
        <v>10</v>
      </c>
      <c r="E191" t="s">
        <v>394</v>
      </c>
      <c r="F191" t="s">
        <v>230</v>
      </c>
      <c r="G191" t="s">
        <v>346</v>
      </c>
      <c r="I191" s="37">
        <v>746.99</v>
      </c>
      <c r="J191" s="37">
        <v>33.01</v>
      </c>
      <c r="L191" s="37">
        <v>780</v>
      </c>
      <c r="N191" s="37">
        <v>780</v>
      </c>
    </row>
    <row r="192" spans="1:14" x14ac:dyDescent="0.25">
      <c r="A192" s="1">
        <v>46049</v>
      </c>
      <c r="B192">
        <v>4</v>
      </c>
      <c r="C192" t="s">
        <v>541</v>
      </c>
      <c r="D192" t="s">
        <v>10</v>
      </c>
      <c r="E192" t="s">
        <v>395</v>
      </c>
      <c r="F192" t="s">
        <v>116</v>
      </c>
      <c r="G192" t="s">
        <v>346</v>
      </c>
      <c r="I192" s="37">
        <v>746.99</v>
      </c>
      <c r="J192" s="37">
        <v>30</v>
      </c>
      <c r="L192" s="37">
        <v>776.99</v>
      </c>
      <c r="N192" s="37">
        <v>776.99</v>
      </c>
    </row>
    <row r="193" spans="1:14" x14ac:dyDescent="0.25">
      <c r="A193" s="1">
        <v>46049</v>
      </c>
      <c r="B193">
        <v>4</v>
      </c>
      <c r="C193" t="s">
        <v>541</v>
      </c>
      <c r="D193" t="s">
        <v>10</v>
      </c>
      <c r="E193" t="s">
        <v>396</v>
      </c>
      <c r="F193" t="s">
        <v>55</v>
      </c>
      <c r="G193" t="s">
        <v>346</v>
      </c>
      <c r="I193" s="37">
        <v>746.99</v>
      </c>
      <c r="L193" s="37">
        <v>746.99</v>
      </c>
      <c r="N193" s="37">
        <v>746.99</v>
      </c>
    </row>
    <row r="194" spans="1:14" x14ac:dyDescent="0.25">
      <c r="A194" s="1">
        <v>46049</v>
      </c>
      <c r="B194">
        <v>4</v>
      </c>
      <c r="C194" t="s">
        <v>541</v>
      </c>
      <c r="D194" t="s">
        <v>10</v>
      </c>
      <c r="E194" t="s">
        <v>397</v>
      </c>
      <c r="F194" t="s">
        <v>41</v>
      </c>
      <c r="G194" t="s">
        <v>398</v>
      </c>
      <c r="I194" s="37">
        <v>746.99</v>
      </c>
      <c r="K194" s="37">
        <v>1.99</v>
      </c>
      <c r="L194" s="37">
        <v>745</v>
      </c>
      <c r="N194" s="37">
        <v>745</v>
      </c>
    </row>
    <row r="195" spans="1:14" x14ac:dyDescent="0.25">
      <c r="A195" s="1">
        <v>46049</v>
      </c>
      <c r="B195">
        <v>4</v>
      </c>
      <c r="C195" t="s">
        <v>541</v>
      </c>
      <c r="D195" t="s">
        <v>10</v>
      </c>
      <c r="E195" t="s">
        <v>399</v>
      </c>
      <c r="F195" t="s">
        <v>12</v>
      </c>
      <c r="G195" t="s">
        <v>346</v>
      </c>
      <c r="I195" s="37">
        <v>746.99</v>
      </c>
      <c r="J195" s="37">
        <v>30</v>
      </c>
      <c r="L195" s="37">
        <v>776.99</v>
      </c>
      <c r="N195" s="37">
        <v>776.99</v>
      </c>
    </row>
    <row r="196" spans="1:14" x14ac:dyDescent="0.25">
      <c r="A196" s="1">
        <v>46049</v>
      </c>
      <c r="B196">
        <v>4</v>
      </c>
      <c r="C196" t="s">
        <v>541</v>
      </c>
      <c r="D196" t="s">
        <v>10</v>
      </c>
      <c r="E196" t="s">
        <v>400</v>
      </c>
      <c r="F196" t="s">
        <v>158</v>
      </c>
      <c r="G196" t="s">
        <v>346</v>
      </c>
      <c r="I196" s="37">
        <v>746.99</v>
      </c>
      <c r="L196" s="37">
        <v>746.99</v>
      </c>
      <c r="N196" s="37">
        <v>746.99</v>
      </c>
    </row>
    <row r="197" spans="1:14" x14ac:dyDescent="0.25">
      <c r="A197" s="1">
        <v>46049</v>
      </c>
      <c r="B197">
        <v>4</v>
      </c>
      <c r="C197" t="s">
        <v>541</v>
      </c>
      <c r="D197" t="s">
        <v>10</v>
      </c>
      <c r="E197" t="s">
        <v>401</v>
      </c>
      <c r="F197" t="s">
        <v>55</v>
      </c>
      <c r="G197" t="s">
        <v>346</v>
      </c>
      <c r="I197" s="37">
        <v>746.99</v>
      </c>
      <c r="J197" s="37">
        <v>30</v>
      </c>
      <c r="L197" s="37">
        <v>776.99</v>
      </c>
      <c r="N197" s="37">
        <v>776.99</v>
      </c>
    </row>
    <row r="198" spans="1:14" x14ac:dyDescent="0.25">
      <c r="A198" s="1">
        <v>46049</v>
      </c>
      <c r="B198">
        <v>4</v>
      </c>
      <c r="C198" t="s">
        <v>541</v>
      </c>
      <c r="D198" t="s">
        <v>10</v>
      </c>
      <c r="E198" t="s">
        <v>402</v>
      </c>
      <c r="F198" t="s">
        <v>403</v>
      </c>
      <c r="G198" t="s">
        <v>346</v>
      </c>
      <c r="I198" s="37">
        <v>1001.99</v>
      </c>
      <c r="K198" s="37">
        <v>1.99</v>
      </c>
      <c r="L198" s="37">
        <v>1000</v>
      </c>
      <c r="N198" s="37">
        <v>1000</v>
      </c>
    </row>
    <row r="199" spans="1:14" x14ac:dyDescent="0.25">
      <c r="A199" s="1">
        <v>46049</v>
      </c>
      <c r="B199">
        <v>4</v>
      </c>
      <c r="C199" t="s">
        <v>541</v>
      </c>
      <c r="D199" t="s">
        <v>10</v>
      </c>
      <c r="E199" t="s">
        <v>404</v>
      </c>
      <c r="F199" t="s">
        <v>55</v>
      </c>
      <c r="G199" t="s">
        <v>346</v>
      </c>
      <c r="I199" s="37">
        <v>746.99</v>
      </c>
      <c r="J199" s="37">
        <v>0.01</v>
      </c>
      <c r="L199" s="37">
        <v>747</v>
      </c>
      <c r="N199" s="37">
        <v>747</v>
      </c>
    </row>
    <row r="200" spans="1:14" x14ac:dyDescent="0.25">
      <c r="A200" s="1">
        <v>46049</v>
      </c>
      <c r="B200">
        <v>4</v>
      </c>
      <c r="C200" t="s">
        <v>541</v>
      </c>
      <c r="D200" t="s">
        <v>10</v>
      </c>
      <c r="E200" t="s">
        <v>405</v>
      </c>
      <c r="F200" t="s">
        <v>52</v>
      </c>
      <c r="G200" t="s">
        <v>346</v>
      </c>
      <c r="I200" s="37">
        <v>1251.99</v>
      </c>
      <c r="L200" s="37">
        <v>1251.99</v>
      </c>
    </row>
    <row r="201" spans="1:14" x14ac:dyDescent="0.25">
      <c r="A201" s="1">
        <v>46049</v>
      </c>
      <c r="B201">
        <v>4</v>
      </c>
      <c r="C201" t="s">
        <v>541</v>
      </c>
      <c r="D201" t="s">
        <v>10</v>
      </c>
      <c r="E201" t="s">
        <v>406</v>
      </c>
      <c r="F201" t="s">
        <v>407</v>
      </c>
      <c r="G201" t="s">
        <v>346</v>
      </c>
      <c r="I201" s="37">
        <v>801.99</v>
      </c>
      <c r="L201" s="37">
        <v>801.99</v>
      </c>
      <c r="N201" s="37">
        <v>801.99</v>
      </c>
    </row>
    <row r="202" spans="1:14" x14ac:dyDescent="0.25">
      <c r="A202" s="1">
        <v>46049</v>
      </c>
      <c r="B202">
        <v>4</v>
      </c>
      <c r="C202" t="s">
        <v>541</v>
      </c>
      <c r="D202" t="s">
        <v>10</v>
      </c>
      <c r="E202" t="s">
        <v>408</v>
      </c>
      <c r="F202" t="s">
        <v>52</v>
      </c>
      <c r="G202" t="s">
        <v>409</v>
      </c>
      <c r="I202" s="37">
        <v>1251.99</v>
      </c>
      <c r="J202" s="37">
        <v>30.01</v>
      </c>
      <c r="L202" s="37">
        <v>1282</v>
      </c>
      <c r="N202" s="37">
        <v>1282</v>
      </c>
    </row>
    <row r="203" spans="1:14" x14ac:dyDescent="0.25">
      <c r="A203" s="1">
        <v>46049</v>
      </c>
      <c r="B203">
        <v>4</v>
      </c>
      <c r="C203" t="s">
        <v>541</v>
      </c>
      <c r="D203" t="s">
        <v>10</v>
      </c>
      <c r="E203" t="s">
        <v>410</v>
      </c>
      <c r="F203" t="s">
        <v>411</v>
      </c>
      <c r="G203" t="s">
        <v>346</v>
      </c>
      <c r="I203" s="37">
        <v>1251.99</v>
      </c>
      <c r="L203" s="37">
        <v>1296.99</v>
      </c>
      <c r="N203" s="37">
        <v>1251.99</v>
      </c>
    </row>
    <row r="204" spans="1:14" x14ac:dyDescent="0.25">
      <c r="A204" s="1">
        <v>46049</v>
      </c>
      <c r="B204">
        <v>4</v>
      </c>
      <c r="C204" t="s">
        <v>541</v>
      </c>
      <c r="D204" t="s">
        <v>10</v>
      </c>
      <c r="E204" t="s">
        <v>412</v>
      </c>
      <c r="F204" t="s">
        <v>403</v>
      </c>
      <c r="G204" t="s">
        <v>346</v>
      </c>
      <c r="I204" s="37">
        <v>931.99</v>
      </c>
      <c r="J204" s="37">
        <v>90.01</v>
      </c>
      <c r="L204" s="37">
        <v>1022</v>
      </c>
      <c r="N204" s="37">
        <v>1022</v>
      </c>
    </row>
    <row r="205" spans="1:14" x14ac:dyDescent="0.25">
      <c r="A205" s="1">
        <v>46049</v>
      </c>
      <c r="B205">
        <v>4</v>
      </c>
      <c r="C205" t="s">
        <v>541</v>
      </c>
      <c r="D205" t="s">
        <v>10</v>
      </c>
      <c r="E205" t="s">
        <v>413</v>
      </c>
      <c r="F205" t="s">
        <v>211</v>
      </c>
      <c r="G205" t="s">
        <v>414</v>
      </c>
      <c r="I205" s="37">
        <v>746.99</v>
      </c>
      <c r="J205" s="37">
        <v>30</v>
      </c>
      <c r="L205" s="37">
        <v>776.99</v>
      </c>
      <c r="N205" s="37">
        <v>776.99</v>
      </c>
    </row>
    <row r="206" spans="1:14" x14ac:dyDescent="0.25">
      <c r="A206" s="1">
        <v>46049</v>
      </c>
      <c r="B206">
        <v>4</v>
      </c>
      <c r="C206" t="s">
        <v>541</v>
      </c>
      <c r="D206" t="s">
        <v>10</v>
      </c>
      <c r="E206" t="s">
        <v>415</v>
      </c>
      <c r="F206" t="s">
        <v>416</v>
      </c>
      <c r="G206" t="s">
        <v>370</v>
      </c>
      <c r="I206" s="37">
        <v>931.99</v>
      </c>
      <c r="J206" s="37">
        <v>0.01</v>
      </c>
      <c r="L206" s="37">
        <v>932</v>
      </c>
      <c r="M206" s="37">
        <v>219.5</v>
      </c>
      <c r="N206" s="37">
        <v>932</v>
      </c>
    </row>
    <row r="207" spans="1:14" x14ac:dyDescent="0.25">
      <c r="A207" s="1">
        <v>46049</v>
      </c>
      <c r="B207">
        <v>4</v>
      </c>
      <c r="C207" t="s">
        <v>541</v>
      </c>
      <c r="D207" t="s">
        <v>10</v>
      </c>
      <c r="E207" t="s">
        <v>417</v>
      </c>
      <c r="F207" t="s">
        <v>52</v>
      </c>
      <c r="G207" t="s">
        <v>359</v>
      </c>
      <c r="I207" s="37">
        <v>1251.99</v>
      </c>
      <c r="L207" s="37">
        <v>1296.99</v>
      </c>
      <c r="N207" s="37">
        <v>1251.99</v>
      </c>
    </row>
    <row r="208" spans="1:14" x14ac:dyDescent="0.25">
      <c r="A208" s="1">
        <v>46049</v>
      </c>
      <c r="B208">
        <v>4</v>
      </c>
      <c r="C208" t="s">
        <v>541</v>
      </c>
      <c r="D208" t="s">
        <v>10</v>
      </c>
      <c r="E208" t="s">
        <v>418</v>
      </c>
      <c r="F208" t="s">
        <v>33</v>
      </c>
      <c r="G208" t="s">
        <v>346</v>
      </c>
      <c r="I208" s="37">
        <v>851.99</v>
      </c>
      <c r="L208" s="37">
        <v>1346.99</v>
      </c>
      <c r="N208" s="37">
        <v>851.99</v>
      </c>
    </row>
    <row r="209" spans="1:14" x14ac:dyDescent="0.25">
      <c r="A209" s="1">
        <v>46049</v>
      </c>
      <c r="B209">
        <v>4</v>
      </c>
      <c r="C209" t="s">
        <v>541</v>
      </c>
      <c r="D209" t="s">
        <v>10</v>
      </c>
      <c r="E209" t="s">
        <v>419</v>
      </c>
      <c r="F209" t="s">
        <v>94</v>
      </c>
      <c r="G209" t="s">
        <v>420</v>
      </c>
      <c r="I209" s="37">
        <v>746.99</v>
      </c>
      <c r="J209" s="37">
        <v>30</v>
      </c>
      <c r="L209" s="37">
        <v>776.99</v>
      </c>
      <c r="N209" s="37">
        <v>776.99</v>
      </c>
    </row>
    <row r="210" spans="1:14" x14ac:dyDescent="0.25">
      <c r="A210" s="1">
        <v>46049</v>
      </c>
      <c r="B210">
        <v>4</v>
      </c>
      <c r="C210" t="s">
        <v>541</v>
      </c>
      <c r="D210" t="s">
        <v>10</v>
      </c>
      <c r="E210" t="s">
        <v>421</v>
      </c>
      <c r="F210" t="s">
        <v>422</v>
      </c>
      <c r="G210" t="s">
        <v>346</v>
      </c>
      <c r="I210" s="37">
        <v>1251.99</v>
      </c>
      <c r="L210" s="37">
        <v>1330</v>
      </c>
      <c r="N210" s="37">
        <v>1251.99</v>
      </c>
    </row>
    <row r="211" spans="1:14" x14ac:dyDescent="0.25">
      <c r="A211" s="1">
        <v>46049</v>
      </c>
      <c r="B211">
        <v>4</v>
      </c>
      <c r="C211" t="s">
        <v>541</v>
      </c>
      <c r="D211" t="s">
        <v>10</v>
      </c>
      <c r="E211" t="s">
        <v>423</v>
      </c>
      <c r="F211" t="s">
        <v>12</v>
      </c>
      <c r="G211" t="s">
        <v>346</v>
      </c>
      <c r="I211" s="37">
        <v>746.99</v>
      </c>
      <c r="J211" s="37">
        <v>33.01</v>
      </c>
      <c r="L211" s="37">
        <v>780</v>
      </c>
      <c r="N211" s="37">
        <v>780</v>
      </c>
    </row>
    <row r="212" spans="1:14" x14ac:dyDescent="0.25">
      <c r="A212" s="1">
        <v>46049</v>
      </c>
      <c r="B212">
        <v>4</v>
      </c>
      <c r="C212" t="s">
        <v>541</v>
      </c>
      <c r="D212" t="s">
        <v>10</v>
      </c>
      <c r="E212" t="s">
        <v>424</v>
      </c>
      <c r="F212" t="s">
        <v>12</v>
      </c>
      <c r="G212" t="s">
        <v>346</v>
      </c>
      <c r="I212" s="37">
        <v>746.99</v>
      </c>
      <c r="J212" s="37">
        <v>90.01</v>
      </c>
      <c r="L212" s="37">
        <v>837</v>
      </c>
      <c r="N212" s="37">
        <v>837</v>
      </c>
    </row>
    <row r="213" spans="1:14" x14ac:dyDescent="0.25">
      <c r="A213" s="1">
        <v>46049</v>
      </c>
      <c r="B213">
        <v>4</v>
      </c>
      <c r="C213" t="s">
        <v>541</v>
      </c>
      <c r="D213" t="s">
        <v>10</v>
      </c>
      <c r="E213" t="s">
        <v>425</v>
      </c>
      <c r="F213" t="s">
        <v>426</v>
      </c>
      <c r="G213" t="s">
        <v>349</v>
      </c>
      <c r="I213" s="37">
        <v>881.99</v>
      </c>
      <c r="L213" s="37">
        <v>881.99</v>
      </c>
      <c r="N213" s="37">
        <v>881.99</v>
      </c>
    </row>
    <row r="214" spans="1:14" x14ac:dyDescent="0.25">
      <c r="A214" s="1">
        <v>46049</v>
      </c>
      <c r="B214">
        <v>4</v>
      </c>
      <c r="C214" t="s">
        <v>541</v>
      </c>
      <c r="D214" t="s">
        <v>10</v>
      </c>
      <c r="E214" t="s">
        <v>427</v>
      </c>
      <c r="F214" t="s">
        <v>116</v>
      </c>
      <c r="G214" t="s">
        <v>363</v>
      </c>
      <c r="I214" s="37">
        <v>746.99</v>
      </c>
      <c r="K214" s="37">
        <v>213.42</v>
      </c>
      <c r="L214" s="37">
        <v>533.57000000000005</v>
      </c>
      <c r="N214" s="37">
        <v>533.57000000000005</v>
      </c>
    </row>
    <row r="215" spans="1:14" x14ac:dyDescent="0.25">
      <c r="A215" s="1">
        <v>46049</v>
      </c>
      <c r="B215">
        <v>4</v>
      </c>
      <c r="C215" t="s">
        <v>541</v>
      </c>
      <c r="D215" t="s">
        <v>10</v>
      </c>
      <c r="E215" t="s">
        <v>428</v>
      </c>
      <c r="F215" t="s">
        <v>69</v>
      </c>
      <c r="G215" t="s">
        <v>378</v>
      </c>
      <c r="I215" s="37">
        <v>746.99</v>
      </c>
      <c r="K215" s="37">
        <v>1.99</v>
      </c>
      <c r="L215" s="37">
        <v>745</v>
      </c>
      <c r="N215" s="37">
        <v>745</v>
      </c>
    </row>
    <row r="216" spans="1:14" x14ac:dyDescent="0.25">
      <c r="A216" s="1">
        <v>46049</v>
      </c>
      <c r="B216">
        <v>4</v>
      </c>
      <c r="C216" t="s">
        <v>541</v>
      </c>
      <c r="D216" t="s">
        <v>10</v>
      </c>
      <c r="E216" t="s">
        <v>429</v>
      </c>
      <c r="F216" t="s">
        <v>158</v>
      </c>
      <c r="G216" t="s">
        <v>346</v>
      </c>
      <c r="I216" s="37">
        <v>746.99</v>
      </c>
      <c r="K216" s="37">
        <v>640.55999999999995</v>
      </c>
      <c r="L216" s="37">
        <v>106.43</v>
      </c>
      <c r="N216" s="37">
        <v>106.43</v>
      </c>
    </row>
    <row r="217" spans="1:14" x14ac:dyDescent="0.25">
      <c r="A217" s="1">
        <v>46049</v>
      </c>
      <c r="B217">
        <v>4</v>
      </c>
      <c r="C217" t="s">
        <v>541</v>
      </c>
      <c r="D217" t="s">
        <v>10</v>
      </c>
      <c r="E217" t="s">
        <v>430</v>
      </c>
      <c r="F217" t="s">
        <v>158</v>
      </c>
      <c r="G217" t="s">
        <v>346</v>
      </c>
      <c r="I217" s="37">
        <v>746.99</v>
      </c>
      <c r="L217" s="37">
        <v>746.99</v>
      </c>
      <c r="N217" s="37">
        <v>746.99</v>
      </c>
    </row>
    <row r="218" spans="1:14" x14ac:dyDescent="0.25">
      <c r="A218" s="1">
        <v>46049</v>
      </c>
      <c r="B218">
        <v>4</v>
      </c>
      <c r="C218" t="s">
        <v>541</v>
      </c>
      <c r="D218" t="s">
        <v>10</v>
      </c>
      <c r="E218" t="s">
        <v>431</v>
      </c>
      <c r="F218" t="s">
        <v>158</v>
      </c>
      <c r="G218" t="s">
        <v>346</v>
      </c>
      <c r="I218" s="37">
        <v>746.99</v>
      </c>
      <c r="K218" s="37">
        <v>1.99</v>
      </c>
      <c r="L218" s="37">
        <v>745</v>
      </c>
      <c r="N218" s="37">
        <v>745</v>
      </c>
    </row>
    <row r="219" spans="1:14" x14ac:dyDescent="0.25">
      <c r="A219" s="1">
        <v>46049</v>
      </c>
      <c r="B219">
        <v>4</v>
      </c>
      <c r="C219" t="s">
        <v>541</v>
      </c>
      <c r="D219" t="s">
        <v>10</v>
      </c>
      <c r="E219" t="s">
        <v>432</v>
      </c>
      <c r="F219" t="s">
        <v>55</v>
      </c>
      <c r="G219" t="s">
        <v>433</v>
      </c>
      <c r="I219" s="37">
        <v>746.99</v>
      </c>
      <c r="J219" s="37">
        <v>30.01</v>
      </c>
      <c r="L219" s="37">
        <v>777</v>
      </c>
      <c r="N219" s="37">
        <v>777</v>
      </c>
    </row>
    <row r="220" spans="1:14" x14ac:dyDescent="0.25">
      <c r="A220" s="1">
        <v>46049</v>
      </c>
      <c r="B220">
        <v>4</v>
      </c>
      <c r="C220" t="s">
        <v>541</v>
      </c>
      <c r="D220" t="s">
        <v>10</v>
      </c>
      <c r="E220" t="s">
        <v>434</v>
      </c>
      <c r="F220" t="s">
        <v>55</v>
      </c>
      <c r="G220" t="s">
        <v>346</v>
      </c>
      <c r="I220" s="37">
        <v>746.99</v>
      </c>
      <c r="J220" s="37">
        <v>30</v>
      </c>
      <c r="L220" s="37">
        <v>776.99</v>
      </c>
      <c r="N220" s="37">
        <v>776.99</v>
      </c>
    </row>
    <row r="221" spans="1:14" x14ac:dyDescent="0.25">
      <c r="A221" s="1">
        <v>46049</v>
      </c>
      <c r="B221">
        <v>4</v>
      </c>
      <c r="C221" t="s">
        <v>541</v>
      </c>
      <c r="D221" t="s">
        <v>10</v>
      </c>
      <c r="E221" t="s">
        <v>435</v>
      </c>
      <c r="F221" t="s">
        <v>41</v>
      </c>
      <c r="G221" t="s">
        <v>398</v>
      </c>
      <c r="I221" s="37">
        <v>746.99</v>
      </c>
      <c r="J221" s="37">
        <v>30</v>
      </c>
      <c r="L221" s="37">
        <v>776.99</v>
      </c>
      <c r="N221" s="37">
        <v>776.99</v>
      </c>
    </row>
    <row r="222" spans="1:14" x14ac:dyDescent="0.25">
      <c r="A222" s="1">
        <v>46049</v>
      </c>
      <c r="B222">
        <v>4</v>
      </c>
      <c r="C222" t="s">
        <v>541</v>
      </c>
      <c r="D222" t="s">
        <v>10</v>
      </c>
      <c r="E222" t="s">
        <v>436</v>
      </c>
      <c r="F222" t="s">
        <v>116</v>
      </c>
      <c r="G222" t="s">
        <v>346</v>
      </c>
      <c r="I222" s="37">
        <v>746.99</v>
      </c>
      <c r="L222" s="37">
        <v>746.99</v>
      </c>
      <c r="N222" s="37">
        <v>746.99</v>
      </c>
    </row>
    <row r="223" spans="1:14" x14ac:dyDescent="0.25">
      <c r="A223" s="1">
        <v>46049</v>
      </c>
      <c r="B223">
        <v>4</v>
      </c>
      <c r="C223" t="s">
        <v>541</v>
      </c>
      <c r="D223" t="s">
        <v>10</v>
      </c>
      <c r="E223" t="s">
        <v>437</v>
      </c>
      <c r="F223" t="s">
        <v>12</v>
      </c>
      <c r="G223" t="s">
        <v>346</v>
      </c>
      <c r="I223" s="37">
        <v>746.99</v>
      </c>
      <c r="K223" s="37">
        <v>1.99</v>
      </c>
      <c r="L223" s="37">
        <v>745</v>
      </c>
      <c r="N223" s="37">
        <v>745</v>
      </c>
    </row>
    <row r="224" spans="1:14" x14ac:dyDescent="0.25">
      <c r="A224" s="1">
        <v>46049</v>
      </c>
      <c r="B224">
        <v>4</v>
      </c>
      <c r="C224" t="s">
        <v>541</v>
      </c>
      <c r="D224" t="s">
        <v>10</v>
      </c>
      <c r="E224" t="s">
        <v>438</v>
      </c>
      <c r="F224" t="s">
        <v>52</v>
      </c>
      <c r="G224" t="s">
        <v>359</v>
      </c>
      <c r="I224" s="37">
        <v>1251.99</v>
      </c>
      <c r="J224" s="37">
        <v>60</v>
      </c>
      <c r="L224" s="37">
        <v>1311.99</v>
      </c>
      <c r="N224" s="37">
        <v>1311.99</v>
      </c>
    </row>
    <row r="225" spans="1:14" x14ac:dyDescent="0.25">
      <c r="A225" s="1">
        <v>46049</v>
      </c>
      <c r="B225">
        <v>4</v>
      </c>
      <c r="C225" t="s">
        <v>541</v>
      </c>
      <c r="D225" t="s">
        <v>10</v>
      </c>
      <c r="E225" t="s">
        <v>439</v>
      </c>
      <c r="F225" t="s">
        <v>52</v>
      </c>
      <c r="G225" t="s">
        <v>346</v>
      </c>
      <c r="I225" s="37">
        <v>1251.99</v>
      </c>
      <c r="L225" s="37">
        <v>1251.99</v>
      </c>
      <c r="N225" s="37">
        <v>1251.99</v>
      </c>
    </row>
    <row r="226" spans="1:14" x14ac:dyDescent="0.25">
      <c r="A226" s="1">
        <v>46049</v>
      </c>
      <c r="B226">
        <v>4</v>
      </c>
      <c r="C226" t="s">
        <v>541</v>
      </c>
      <c r="D226" t="s">
        <v>10</v>
      </c>
      <c r="E226" t="s">
        <v>440</v>
      </c>
      <c r="F226" t="s">
        <v>411</v>
      </c>
      <c r="G226" t="s">
        <v>346</v>
      </c>
      <c r="I226" s="37">
        <v>1251.99</v>
      </c>
      <c r="J226" s="37">
        <v>30</v>
      </c>
      <c r="L226" s="37">
        <v>1281.99</v>
      </c>
      <c r="N226" s="37">
        <v>1281.99</v>
      </c>
    </row>
    <row r="227" spans="1:14" x14ac:dyDescent="0.25">
      <c r="A227" s="1">
        <v>46049</v>
      </c>
      <c r="B227">
        <v>4</v>
      </c>
      <c r="C227" t="s">
        <v>541</v>
      </c>
      <c r="D227" t="s">
        <v>10</v>
      </c>
      <c r="E227" t="s">
        <v>441</v>
      </c>
      <c r="F227" t="s">
        <v>52</v>
      </c>
      <c r="G227" t="s">
        <v>346</v>
      </c>
      <c r="I227" s="37">
        <v>1251.99</v>
      </c>
      <c r="K227" s="37">
        <v>178.58</v>
      </c>
      <c r="L227" s="37">
        <v>1073.4100000000001</v>
      </c>
      <c r="N227" s="37">
        <v>1073.4100000000001</v>
      </c>
    </row>
    <row r="228" spans="1:14" x14ac:dyDescent="0.25">
      <c r="A228" s="1">
        <v>46049</v>
      </c>
      <c r="B228">
        <v>4</v>
      </c>
      <c r="C228" t="s">
        <v>541</v>
      </c>
      <c r="D228" t="s">
        <v>10</v>
      </c>
      <c r="E228" t="s">
        <v>442</v>
      </c>
      <c r="F228" t="s">
        <v>52</v>
      </c>
      <c r="G228" t="s">
        <v>346</v>
      </c>
      <c r="I228" s="37">
        <v>1251.99</v>
      </c>
      <c r="K228" s="37">
        <v>1.99</v>
      </c>
      <c r="L228" s="37">
        <v>1250</v>
      </c>
      <c r="N228" s="37">
        <v>1250</v>
      </c>
    </row>
    <row r="229" spans="1:14" x14ac:dyDescent="0.25">
      <c r="A229" s="1">
        <v>46049</v>
      </c>
      <c r="B229">
        <v>4</v>
      </c>
      <c r="C229" t="s">
        <v>541</v>
      </c>
      <c r="D229" t="s">
        <v>10</v>
      </c>
      <c r="E229" t="s">
        <v>443</v>
      </c>
      <c r="F229" t="s">
        <v>52</v>
      </c>
      <c r="G229" t="s">
        <v>346</v>
      </c>
      <c r="I229" s="37">
        <v>1251.99</v>
      </c>
      <c r="J229" s="37">
        <v>30</v>
      </c>
      <c r="K229" s="37">
        <v>178.58</v>
      </c>
      <c r="L229" s="37">
        <v>1103.4100000000001</v>
      </c>
      <c r="N229" s="37">
        <v>1103.4100000000001</v>
      </c>
    </row>
    <row r="230" spans="1:14" x14ac:dyDescent="0.25">
      <c r="A230" s="1">
        <v>46049</v>
      </c>
      <c r="B230">
        <v>4</v>
      </c>
      <c r="C230" t="s">
        <v>541</v>
      </c>
      <c r="D230" t="s">
        <v>10</v>
      </c>
      <c r="E230" t="s">
        <v>444</v>
      </c>
      <c r="F230" t="s">
        <v>52</v>
      </c>
      <c r="G230" t="s">
        <v>409</v>
      </c>
      <c r="I230" s="37">
        <v>1251.99</v>
      </c>
      <c r="J230" s="37">
        <v>28.01</v>
      </c>
      <c r="L230" s="37">
        <v>1280</v>
      </c>
      <c r="M230" s="37">
        <v>405.82</v>
      </c>
      <c r="N230" s="37">
        <v>1280</v>
      </c>
    </row>
    <row r="231" spans="1:14" x14ac:dyDescent="0.25">
      <c r="A231" s="1">
        <v>46049</v>
      </c>
      <c r="B231">
        <v>4</v>
      </c>
      <c r="C231" t="s">
        <v>542</v>
      </c>
      <c r="D231" t="s">
        <v>99</v>
      </c>
      <c r="E231" t="s">
        <v>445</v>
      </c>
      <c r="F231" t="s">
        <v>52</v>
      </c>
      <c r="G231" t="s">
        <v>346</v>
      </c>
      <c r="I231" s="37">
        <v>1251.99</v>
      </c>
      <c r="L231" s="37">
        <v>1251.99</v>
      </c>
    </row>
    <row r="232" spans="1:14" x14ac:dyDescent="0.25">
      <c r="A232" s="1">
        <v>46049</v>
      </c>
      <c r="B232">
        <v>4</v>
      </c>
      <c r="C232" t="s">
        <v>541</v>
      </c>
      <c r="D232" t="s">
        <v>10</v>
      </c>
      <c r="E232" t="s">
        <v>446</v>
      </c>
      <c r="F232" t="s">
        <v>447</v>
      </c>
      <c r="G232" t="s">
        <v>349</v>
      </c>
      <c r="I232" s="37">
        <v>851.99</v>
      </c>
      <c r="L232" s="37">
        <v>851.99</v>
      </c>
      <c r="N232" s="37">
        <v>851.99</v>
      </c>
    </row>
    <row r="233" spans="1:14" x14ac:dyDescent="0.25">
      <c r="A233" s="1">
        <v>46049</v>
      </c>
      <c r="B233">
        <v>4</v>
      </c>
      <c r="C233" t="s">
        <v>541</v>
      </c>
      <c r="D233" t="s">
        <v>10</v>
      </c>
      <c r="E233" t="s">
        <v>448</v>
      </c>
      <c r="F233" t="s">
        <v>255</v>
      </c>
      <c r="G233" t="s">
        <v>409</v>
      </c>
      <c r="I233" s="37">
        <v>801.99</v>
      </c>
      <c r="J233" s="37">
        <v>30</v>
      </c>
      <c r="L233" s="37">
        <v>831.99</v>
      </c>
      <c r="N233" s="37">
        <v>831.99</v>
      </c>
    </row>
    <row r="234" spans="1:14" x14ac:dyDescent="0.25">
      <c r="A234" s="1">
        <v>46049</v>
      </c>
      <c r="B234">
        <v>4</v>
      </c>
      <c r="C234" t="s">
        <v>541</v>
      </c>
      <c r="D234" t="s">
        <v>10</v>
      </c>
      <c r="E234" t="s">
        <v>449</v>
      </c>
      <c r="F234" t="s">
        <v>41</v>
      </c>
      <c r="G234" t="s">
        <v>349</v>
      </c>
      <c r="I234" s="37">
        <v>746.99</v>
      </c>
      <c r="K234" s="37">
        <v>254.86</v>
      </c>
      <c r="L234" s="37">
        <v>492.13</v>
      </c>
      <c r="N234" s="37">
        <v>492.13</v>
      </c>
    </row>
    <row r="235" spans="1:14" x14ac:dyDescent="0.25">
      <c r="A235" s="1">
        <v>46049</v>
      </c>
      <c r="B235">
        <v>4</v>
      </c>
      <c r="C235" t="s">
        <v>541</v>
      </c>
      <c r="D235" t="s">
        <v>10</v>
      </c>
      <c r="E235" t="s">
        <v>450</v>
      </c>
      <c r="F235" t="s">
        <v>451</v>
      </c>
      <c r="G235" t="s">
        <v>346</v>
      </c>
      <c r="I235" s="37">
        <v>1351.99</v>
      </c>
      <c r="J235" s="37">
        <v>0.01</v>
      </c>
      <c r="L235" s="37">
        <v>1352</v>
      </c>
      <c r="N235" s="37">
        <v>1352</v>
      </c>
    </row>
    <row r="236" spans="1:14" x14ac:dyDescent="0.25">
      <c r="A236" s="1">
        <v>46049</v>
      </c>
      <c r="B236">
        <v>4</v>
      </c>
      <c r="C236" t="s">
        <v>541</v>
      </c>
      <c r="D236" t="s">
        <v>10</v>
      </c>
      <c r="E236" t="s">
        <v>452</v>
      </c>
      <c r="F236" t="s">
        <v>12</v>
      </c>
      <c r="G236" t="s">
        <v>346</v>
      </c>
      <c r="I236" s="37">
        <v>746.99</v>
      </c>
      <c r="K236" s="37">
        <v>0.99</v>
      </c>
      <c r="L236" s="37">
        <v>746</v>
      </c>
      <c r="N236" s="37">
        <v>746</v>
      </c>
    </row>
    <row r="237" spans="1:14" x14ac:dyDescent="0.25">
      <c r="A237" s="1">
        <v>46049</v>
      </c>
      <c r="B237">
        <v>4</v>
      </c>
      <c r="C237" t="s">
        <v>541</v>
      </c>
      <c r="D237" t="s">
        <v>10</v>
      </c>
      <c r="E237" t="s">
        <v>453</v>
      </c>
      <c r="F237" t="s">
        <v>387</v>
      </c>
      <c r="G237" t="s">
        <v>349</v>
      </c>
      <c r="I237" s="37">
        <v>801.99</v>
      </c>
      <c r="L237" s="37">
        <v>801.99</v>
      </c>
      <c r="N237" s="37">
        <v>801.99</v>
      </c>
    </row>
    <row r="238" spans="1:14" x14ac:dyDescent="0.25">
      <c r="A238" s="1">
        <v>46049</v>
      </c>
      <c r="B238">
        <v>4</v>
      </c>
      <c r="C238" t="s">
        <v>541</v>
      </c>
      <c r="D238" t="s">
        <v>10</v>
      </c>
      <c r="E238" t="s">
        <v>454</v>
      </c>
      <c r="F238" t="s">
        <v>455</v>
      </c>
      <c r="G238" t="s">
        <v>349</v>
      </c>
      <c r="I238" s="37">
        <v>831.99</v>
      </c>
      <c r="J238" s="37">
        <v>30.01</v>
      </c>
      <c r="L238" s="37">
        <v>862</v>
      </c>
      <c r="N238" s="37">
        <v>862</v>
      </c>
    </row>
    <row r="239" spans="1:14" x14ac:dyDescent="0.25">
      <c r="A239" s="1">
        <v>46049</v>
      </c>
      <c r="B239">
        <v>4</v>
      </c>
      <c r="C239" t="s">
        <v>541</v>
      </c>
      <c r="D239" t="s">
        <v>10</v>
      </c>
      <c r="E239" t="s">
        <v>456</v>
      </c>
      <c r="F239" t="s">
        <v>41</v>
      </c>
      <c r="G239" t="s">
        <v>457</v>
      </c>
      <c r="I239" s="37">
        <v>746.99</v>
      </c>
      <c r="K239" s="37">
        <v>1.99</v>
      </c>
      <c r="L239" s="37">
        <v>745</v>
      </c>
      <c r="N239" s="37">
        <v>745</v>
      </c>
    </row>
    <row r="240" spans="1:14" x14ac:dyDescent="0.25">
      <c r="A240" s="1">
        <v>46049</v>
      </c>
      <c r="B240">
        <v>4</v>
      </c>
      <c r="C240" t="s">
        <v>541</v>
      </c>
      <c r="D240" t="s">
        <v>10</v>
      </c>
      <c r="E240" t="s">
        <v>458</v>
      </c>
      <c r="F240" t="s">
        <v>41</v>
      </c>
      <c r="G240" t="s">
        <v>380</v>
      </c>
      <c r="I240" s="37">
        <v>746.99</v>
      </c>
      <c r="K240" s="37">
        <v>1.99</v>
      </c>
      <c r="L240" s="37">
        <v>745</v>
      </c>
      <c r="N240" s="37">
        <v>745</v>
      </c>
    </row>
    <row r="241" spans="1:14" x14ac:dyDescent="0.25">
      <c r="A241" s="1">
        <v>46049</v>
      </c>
      <c r="B241">
        <v>4</v>
      </c>
      <c r="C241" t="s">
        <v>541</v>
      </c>
      <c r="D241" t="s">
        <v>10</v>
      </c>
      <c r="E241" t="s">
        <v>459</v>
      </c>
      <c r="F241" t="s">
        <v>426</v>
      </c>
      <c r="G241" t="s">
        <v>363</v>
      </c>
      <c r="I241" s="37">
        <v>746.99</v>
      </c>
      <c r="J241" s="37">
        <v>60.01</v>
      </c>
      <c r="L241" s="37">
        <v>807</v>
      </c>
      <c r="N241" s="37">
        <v>807</v>
      </c>
    </row>
    <row r="242" spans="1:14" x14ac:dyDescent="0.25">
      <c r="A242" s="1">
        <v>46049</v>
      </c>
      <c r="B242">
        <v>4</v>
      </c>
      <c r="C242" t="s">
        <v>541</v>
      </c>
      <c r="D242" t="s">
        <v>10</v>
      </c>
      <c r="E242" t="s">
        <v>460</v>
      </c>
      <c r="F242" t="s">
        <v>41</v>
      </c>
      <c r="G242" t="s">
        <v>346</v>
      </c>
      <c r="I242" s="37">
        <v>746.99</v>
      </c>
      <c r="K242" s="37">
        <v>385.16</v>
      </c>
      <c r="L242" s="37">
        <v>361.83</v>
      </c>
      <c r="N242" s="37">
        <v>361.83</v>
      </c>
    </row>
    <row r="243" spans="1:14" x14ac:dyDescent="0.25">
      <c r="A243" s="1">
        <v>46049</v>
      </c>
      <c r="B243">
        <v>4</v>
      </c>
      <c r="C243" t="s">
        <v>541</v>
      </c>
      <c r="D243" t="s">
        <v>10</v>
      </c>
      <c r="E243" t="s">
        <v>461</v>
      </c>
      <c r="F243" t="s">
        <v>41</v>
      </c>
      <c r="G243" t="s">
        <v>462</v>
      </c>
      <c r="I243" s="37">
        <v>746.99</v>
      </c>
      <c r="L243" s="37">
        <v>746.99</v>
      </c>
      <c r="N243" s="37">
        <v>746.99</v>
      </c>
    </row>
    <row r="244" spans="1:14" x14ac:dyDescent="0.25">
      <c r="A244" s="1">
        <v>46049</v>
      </c>
      <c r="B244">
        <v>4</v>
      </c>
      <c r="C244" t="s">
        <v>541</v>
      </c>
      <c r="D244" t="s">
        <v>10</v>
      </c>
      <c r="E244" t="s">
        <v>463</v>
      </c>
      <c r="F244" t="s">
        <v>158</v>
      </c>
      <c r="G244" t="s">
        <v>346</v>
      </c>
      <c r="I244" s="37">
        <v>746.99</v>
      </c>
      <c r="K244" s="37">
        <v>1.99</v>
      </c>
      <c r="L244" s="37">
        <v>745</v>
      </c>
      <c r="N244" s="37">
        <v>745</v>
      </c>
    </row>
    <row r="245" spans="1:14" x14ac:dyDescent="0.25">
      <c r="A245" s="1">
        <v>46049</v>
      </c>
      <c r="B245">
        <v>4</v>
      </c>
      <c r="C245" t="s">
        <v>541</v>
      </c>
      <c r="D245" t="s">
        <v>10</v>
      </c>
      <c r="E245" t="s">
        <v>464</v>
      </c>
      <c r="F245" t="s">
        <v>55</v>
      </c>
      <c r="G245" t="s">
        <v>346</v>
      </c>
      <c r="I245" s="37">
        <v>746.99</v>
      </c>
      <c r="J245" s="37">
        <v>33.01</v>
      </c>
      <c r="L245" s="37">
        <v>780</v>
      </c>
      <c r="N245" s="37">
        <v>780</v>
      </c>
    </row>
    <row r="246" spans="1:14" x14ac:dyDescent="0.25">
      <c r="A246" s="1">
        <v>46049</v>
      </c>
      <c r="B246">
        <v>4</v>
      </c>
      <c r="C246" t="s">
        <v>541</v>
      </c>
      <c r="D246" t="s">
        <v>10</v>
      </c>
      <c r="E246" t="s">
        <v>465</v>
      </c>
      <c r="F246" t="s">
        <v>41</v>
      </c>
      <c r="G246" t="s">
        <v>346</v>
      </c>
      <c r="I246" s="37">
        <v>746.99</v>
      </c>
      <c r="L246" s="37">
        <v>746.99</v>
      </c>
      <c r="N246" s="37">
        <v>746.99</v>
      </c>
    </row>
    <row r="247" spans="1:14" x14ac:dyDescent="0.25">
      <c r="A247" s="1">
        <v>46049</v>
      </c>
      <c r="B247">
        <v>4</v>
      </c>
      <c r="C247" t="s">
        <v>541</v>
      </c>
      <c r="D247" t="s">
        <v>10</v>
      </c>
      <c r="E247" t="s">
        <v>466</v>
      </c>
      <c r="F247" t="s">
        <v>33</v>
      </c>
      <c r="G247" t="s">
        <v>467</v>
      </c>
      <c r="I247" s="37">
        <v>851.99</v>
      </c>
      <c r="J247" s="37">
        <v>120.01</v>
      </c>
      <c r="L247" s="37">
        <v>972</v>
      </c>
      <c r="N247" s="37">
        <v>972</v>
      </c>
    </row>
    <row r="248" spans="1:14" x14ac:dyDescent="0.25">
      <c r="A248" s="1">
        <v>46049</v>
      </c>
      <c r="B248">
        <v>4</v>
      </c>
      <c r="C248" t="s">
        <v>541</v>
      </c>
      <c r="D248" t="s">
        <v>10</v>
      </c>
      <c r="E248" t="s">
        <v>468</v>
      </c>
      <c r="F248" t="s">
        <v>469</v>
      </c>
      <c r="G248" t="s">
        <v>346</v>
      </c>
      <c r="I248" s="37">
        <v>1001.99</v>
      </c>
      <c r="L248" s="37">
        <v>1001.99</v>
      </c>
      <c r="N248" s="37">
        <v>1001.99</v>
      </c>
    </row>
    <row r="249" spans="1:14" x14ac:dyDescent="0.25">
      <c r="A249" s="1">
        <v>46049</v>
      </c>
      <c r="B249">
        <v>4</v>
      </c>
      <c r="C249" t="s">
        <v>541</v>
      </c>
      <c r="D249" t="s">
        <v>10</v>
      </c>
      <c r="E249" t="s">
        <v>470</v>
      </c>
      <c r="F249" t="s">
        <v>55</v>
      </c>
      <c r="G249" t="s">
        <v>346</v>
      </c>
      <c r="I249" s="37">
        <v>746.99</v>
      </c>
      <c r="K249" s="37">
        <v>154.85</v>
      </c>
      <c r="L249" s="37">
        <v>592.14</v>
      </c>
      <c r="N249" s="37">
        <v>592.14</v>
      </c>
    </row>
    <row r="250" spans="1:14" x14ac:dyDescent="0.25">
      <c r="A250" s="1">
        <v>46049</v>
      </c>
      <c r="B250">
        <v>4</v>
      </c>
      <c r="C250" t="s">
        <v>541</v>
      </c>
      <c r="D250" t="s">
        <v>10</v>
      </c>
      <c r="E250" t="s">
        <v>471</v>
      </c>
      <c r="F250" t="s">
        <v>472</v>
      </c>
      <c r="G250" t="s">
        <v>346</v>
      </c>
      <c r="I250" s="37">
        <v>746.99</v>
      </c>
      <c r="J250" s="37">
        <v>30</v>
      </c>
      <c r="L250" s="37">
        <v>776.99</v>
      </c>
      <c r="N250" s="37">
        <v>776.99</v>
      </c>
    </row>
    <row r="251" spans="1:14" x14ac:dyDescent="0.25">
      <c r="A251" s="1">
        <v>46049</v>
      </c>
      <c r="B251">
        <v>4</v>
      </c>
      <c r="C251" t="s">
        <v>541</v>
      </c>
      <c r="D251" t="s">
        <v>10</v>
      </c>
      <c r="E251" t="s">
        <v>473</v>
      </c>
      <c r="F251" t="s">
        <v>158</v>
      </c>
      <c r="G251" t="s">
        <v>346</v>
      </c>
      <c r="I251" s="37">
        <v>746.99</v>
      </c>
      <c r="J251" s="37">
        <v>59.01</v>
      </c>
      <c r="L251" s="37">
        <v>806</v>
      </c>
      <c r="N251" s="37">
        <v>806</v>
      </c>
    </row>
    <row r="252" spans="1:14" x14ac:dyDescent="0.25">
      <c r="A252" s="1">
        <v>46049</v>
      </c>
      <c r="B252">
        <v>4</v>
      </c>
      <c r="C252" t="s">
        <v>541</v>
      </c>
      <c r="D252" t="s">
        <v>10</v>
      </c>
      <c r="E252" t="s">
        <v>474</v>
      </c>
      <c r="F252" t="s">
        <v>230</v>
      </c>
      <c r="G252" t="s">
        <v>467</v>
      </c>
      <c r="I252" s="37">
        <v>746.99</v>
      </c>
      <c r="J252" s="37">
        <v>30</v>
      </c>
      <c r="L252" s="37">
        <v>776.99</v>
      </c>
      <c r="N252" s="37">
        <v>776.99</v>
      </c>
    </row>
    <row r="253" spans="1:14" x14ac:dyDescent="0.25">
      <c r="A253" s="1">
        <v>46049</v>
      </c>
      <c r="B253">
        <v>4</v>
      </c>
      <c r="C253" t="s">
        <v>541</v>
      </c>
      <c r="D253" t="s">
        <v>10</v>
      </c>
      <c r="E253" t="s">
        <v>475</v>
      </c>
      <c r="F253" t="s">
        <v>37</v>
      </c>
      <c r="G253" t="s">
        <v>467</v>
      </c>
      <c r="I253" s="37">
        <v>746.99</v>
      </c>
      <c r="J253" s="37">
        <v>30.01</v>
      </c>
      <c r="L253" s="37">
        <v>777</v>
      </c>
      <c r="N253" s="37">
        <v>777</v>
      </c>
    </row>
    <row r="254" spans="1:14" x14ac:dyDescent="0.25">
      <c r="A254" s="1">
        <v>46049</v>
      </c>
      <c r="B254">
        <v>4</v>
      </c>
      <c r="C254" t="s">
        <v>542</v>
      </c>
      <c r="D254" t="s">
        <v>99</v>
      </c>
      <c r="E254" t="s">
        <v>476</v>
      </c>
      <c r="F254" t="s">
        <v>158</v>
      </c>
      <c r="G254" t="s">
        <v>346</v>
      </c>
      <c r="I254" s="37">
        <v>746.99</v>
      </c>
      <c r="L254" s="37">
        <v>746.99</v>
      </c>
    </row>
    <row r="255" spans="1:14" x14ac:dyDescent="0.25">
      <c r="A255" s="1">
        <v>46049</v>
      </c>
      <c r="B255">
        <v>4</v>
      </c>
      <c r="C255" t="s">
        <v>541</v>
      </c>
      <c r="D255" t="s">
        <v>10</v>
      </c>
      <c r="E255" t="s">
        <v>477</v>
      </c>
      <c r="F255" t="s">
        <v>230</v>
      </c>
      <c r="G255" t="s">
        <v>346</v>
      </c>
      <c r="I255" s="37">
        <v>746.99</v>
      </c>
      <c r="L255" s="37">
        <v>746.99</v>
      </c>
      <c r="N255" s="37">
        <v>746.99</v>
      </c>
    </row>
    <row r="256" spans="1:14" x14ac:dyDescent="0.25">
      <c r="A256" s="1">
        <v>46049</v>
      </c>
      <c r="B256">
        <v>4</v>
      </c>
      <c r="C256" t="s">
        <v>541</v>
      </c>
      <c r="D256" t="s">
        <v>10</v>
      </c>
      <c r="E256" t="s">
        <v>478</v>
      </c>
      <c r="F256" t="s">
        <v>158</v>
      </c>
      <c r="G256" t="s">
        <v>346</v>
      </c>
      <c r="I256" s="37">
        <v>746.99</v>
      </c>
      <c r="L256" s="37">
        <v>746.99</v>
      </c>
      <c r="N256" s="37">
        <v>746.99</v>
      </c>
    </row>
    <row r="257" spans="1:14" x14ac:dyDescent="0.25">
      <c r="A257" s="1">
        <v>46049</v>
      </c>
      <c r="B257">
        <v>4</v>
      </c>
      <c r="C257" t="s">
        <v>541</v>
      </c>
      <c r="D257" t="s">
        <v>10</v>
      </c>
      <c r="E257" t="s">
        <v>479</v>
      </c>
      <c r="F257" t="s">
        <v>41</v>
      </c>
      <c r="G257" t="s">
        <v>398</v>
      </c>
      <c r="I257" s="37">
        <v>746.99</v>
      </c>
      <c r="J257" s="37">
        <v>30</v>
      </c>
      <c r="L257" s="37">
        <v>776.99</v>
      </c>
      <c r="N257" s="37">
        <v>776.99</v>
      </c>
    </row>
    <row r="258" spans="1:14" x14ac:dyDescent="0.25">
      <c r="A258" s="1">
        <v>46049</v>
      </c>
      <c r="B258">
        <v>4</v>
      </c>
      <c r="C258" t="s">
        <v>541</v>
      </c>
      <c r="D258" t="s">
        <v>10</v>
      </c>
      <c r="E258" t="s">
        <v>480</v>
      </c>
      <c r="F258" t="s">
        <v>158</v>
      </c>
      <c r="G258" t="s">
        <v>346</v>
      </c>
      <c r="I258" s="37">
        <v>746.99</v>
      </c>
      <c r="J258" s="37">
        <v>30</v>
      </c>
      <c r="L258" s="37">
        <v>776.99</v>
      </c>
      <c r="N258" s="37">
        <v>776.99</v>
      </c>
    </row>
    <row r="259" spans="1:14" x14ac:dyDescent="0.25">
      <c r="A259" s="1">
        <v>46049</v>
      </c>
      <c r="B259">
        <v>4</v>
      </c>
      <c r="C259" t="s">
        <v>541</v>
      </c>
      <c r="D259" t="s">
        <v>10</v>
      </c>
      <c r="E259" t="s">
        <v>481</v>
      </c>
      <c r="F259" t="s">
        <v>41</v>
      </c>
      <c r="G259" t="s">
        <v>398</v>
      </c>
      <c r="I259" s="37">
        <v>746.99</v>
      </c>
      <c r="L259" s="37">
        <v>746.99</v>
      </c>
      <c r="N259" s="37">
        <v>746.99</v>
      </c>
    </row>
    <row r="260" spans="1:14" x14ac:dyDescent="0.25">
      <c r="A260" s="1">
        <v>46049</v>
      </c>
      <c r="B260">
        <v>4</v>
      </c>
      <c r="C260" t="s">
        <v>541</v>
      </c>
      <c r="D260" t="s">
        <v>10</v>
      </c>
      <c r="E260" t="s">
        <v>482</v>
      </c>
      <c r="F260" t="s">
        <v>158</v>
      </c>
      <c r="G260" t="s">
        <v>346</v>
      </c>
      <c r="I260" s="37">
        <v>746.99</v>
      </c>
      <c r="J260" s="37">
        <v>130.01</v>
      </c>
      <c r="L260" s="37">
        <v>877</v>
      </c>
      <c r="N260" s="37">
        <v>877</v>
      </c>
    </row>
    <row r="261" spans="1:14" x14ac:dyDescent="0.25">
      <c r="A261" s="1">
        <v>46049</v>
      </c>
      <c r="B261">
        <v>4</v>
      </c>
      <c r="C261" t="s">
        <v>541</v>
      </c>
      <c r="D261" t="s">
        <v>10</v>
      </c>
      <c r="E261" t="s">
        <v>483</v>
      </c>
      <c r="F261" t="s">
        <v>158</v>
      </c>
      <c r="G261" t="s">
        <v>346</v>
      </c>
      <c r="I261" s="37">
        <v>746.99</v>
      </c>
      <c r="J261" s="37">
        <v>56.01</v>
      </c>
      <c r="L261" s="37">
        <v>803</v>
      </c>
      <c r="N261" s="37">
        <v>803</v>
      </c>
    </row>
    <row r="262" spans="1:14" x14ac:dyDescent="0.25">
      <c r="A262" s="1">
        <v>46049</v>
      </c>
      <c r="B262">
        <v>4</v>
      </c>
      <c r="C262" t="s">
        <v>541</v>
      </c>
      <c r="D262" t="s">
        <v>10</v>
      </c>
      <c r="E262" t="s">
        <v>484</v>
      </c>
      <c r="F262" t="s">
        <v>158</v>
      </c>
      <c r="G262" t="s">
        <v>346</v>
      </c>
      <c r="I262" s="37">
        <v>746.99</v>
      </c>
      <c r="J262" s="37">
        <v>90.01</v>
      </c>
      <c r="L262" s="37">
        <v>837</v>
      </c>
      <c r="N262" s="37">
        <v>837</v>
      </c>
    </row>
    <row r="263" spans="1:14" x14ac:dyDescent="0.25">
      <c r="A263" s="1">
        <v>46049</v>
      </c>
      <c r="B263">
        <v>4</v>
      </c>
      <c r="C263" t="s">
        <v>541</v>
      </c>
      <c r="D263" t="s">
        <v>10</v>
      </c>
      <c r="E263" t="s">
        <v>485</v>
      </c>
      <c r="F263" t="s">
        <v>37</v>
      </c>
      <c r="G263" t="s">
        <v>346</v>
      </c>
      <c r="I263" s="37">
        <v>746.99</v>
      </c>
      <c r="L263" s="37">
        <v>746.99</v>
      </c>
      <c r="N263" s="37">
        <v>746.99</v>
      </c>
    </row>
    <row r="264" spans="1:14" x14ac:dyDescent="0.25">
      <c r="A264" s="1">
        <v>46049</v>
      </c>
      <c r="B264">
        <v>4</v>
      </c>
      <c r="C264" t="s">
        <v>541</v>
      </c>
      <c r="D264" t="s">
        <v>10</v>
      </c>
      <c r="E264" t="s">
        <v>486</v>
      </c>
      <c r="F264" t="s">
        <v>52</v>
      </c>
      <c r="G264" t="s">
        <v>346</v>
      </c>
      <c r="I264" s="37">
        <v>1251.99</v>
      </c>
      <c r="J264" s="37">
        <v>120.01</v>
      </c>
      <c r="L264" s="37">
        <v>1372</v>
      </c>
      <c r="N264" s="37">
        <v>1372</v>
      </c>
    </row>
    <row r="265" spans="1:14" x14ac:dyDescent="0.25">
      <c r="A265" s="1">
        <v>46049</v>
      </c>
      <c r="B265">
        <v>4</v>
      </c>
      <c r="C265" t="s">
        <v>541</v>
      </c>
      <c r="D265" t="s">
        <v>10</v>
      </c>
      <c r="E265" t="s">
        <v>487</v>
      </c>
      <c r="F265" t="s">
        <v>52</v>
      </c>
      <c r="G265" t="s">
        <v>359</v>
      </c>
      <c r="I265" s="37">
        <v>1251.99</v>
      </c>
      <c r="K265" s="37">
        <v>1.99</v>
      </c>
      <c r="L265" s="37">
        <v>1250</v>
      </c>
      <c r="N265" s="37">
        <v>1250</v>
      </c>
    </row>
    <row r="266" spans="1:14" x14ac:dyDescent="0.25">
      <c r="A266" s="1">
        <v>46049</v>
      </c>
      <c r="B266">
        <v>4</v>
      </c>
      <c r="C266" t="s">
        <v>541</v>
      </c>
      <c r="D266" t="s">
        <v>10</v>
      </c>
      <c r="E266" t="s">
        <v>488</v>
      </c>
      <c r="F266" t="s">
        <v>407</v>
      </c>
      <c r="G266" t="s">
        <v>346</v>
      </c>
      <c r="I266" s="37">
        <v>801.99</v>
      </c>
      <c r="K266" s="37">
        <v>1.99</v>
      </c>
      <c r="L266" s="37">
        <v>800</v>
      </c>
      <c r="N266" s="37">
        <v>800</v>
      </c>
    </row>
    <row r="267" spans="1:14" x14ac:dyDescent="0.25">
      <c r="A267" s="1">
        <v>46049</v>
      </c>
      <c r="B267">
        <v>4</v>
      </c>
      <c r="C267" t="s">
        <v>541</v>
      </c>
      <c r="D267" t="s">
        <v>10</v>
      </c>
      <c r="E267" t="s">
        <v>489</v>
      </c>
      <c r="F267" t="s">
        <v>52</v>
      </c>
      <c r="G267" t="s">
        <v>346</v>
      </c>
      <c r="I267" s="37">
        <v>1251.99</v>
      </c>
      <c r="K267" s="37">
        <v>1.99</v>
      </c>
      <c r="L267" s="37">
        <v>1250</v>
      </c>
      <c r="N267" s="37">
        <v>1250</v>
      </c>
    </row>
    <row r="268" spans="1:14" x14ac:dyDescent="0.25">
      <c r="A268" s="1">
        <v>46049</v>
      </c>
      <c r="B268">
        <v>4</v>
      </c>
      <c r="C268" t="s">
        <v>541</v>
      </c>
      <c r="D268" t="s">
        <v>10</v>
      </c>
      <c r="E268" t="s">
        <v>490</v>
      </c>
      <c r="F268" t="s">
        <v>403</v>
      </c>
      <c r="G268" t="s">
        <v>346</v>
      </c>
      <c r="I268" s="37">
        <v>931.99</v>
      </c>
      <c r="J268" s="37">
        <v>119.01</v>
      </c>
      <c r="L268" s="37">
        <v>1051</v>
      </c>
      <c r="N268" s="37">
        <v>1051</v>
      </c>
    </row>
    <row r="269" spans="1:14" x14ac:dyDescent="0.25">
      <c r="A269" s="1">
        <v>46049</v>
      </c>
      <c r="B269">
        <v>4</v>
      </c>
      <c r="C269" t="s">
        <v>541</v>
      </c>
      <c r="D269" t="s">
        <v>10</v>
      </c>
      <c r="E269" t="s">
        <v>491</v>
      </c>
      <c r="F269" t="s">
        <v>403</v>
      </c>
      <c r="G269" t="s">
        <v>346</v>
      </c>
      <c r="I269" s="37">
        <v>1001.99</v>
      </c>
      <c r="J269" s="37">
        <v>150</v>
      </c>
      <c r="K269" s="37">
        <v>0.99</v>
      </c>
      <c r="L269" s="37">
        <v>1151</v>
      </c>
      <c r="N269" s="37">
        <v>1151</v>
      </c>
    </row>
    <row r="270" spans="1:14" x14ac:dyDescent="0.25">
      <c r="A270" s="1">
        <v>46049</v>
      </c>
      <c r="B270">
        <v>4</v>
      </c>
      <c r="C270" t="s">
        <v>541</v>
      </c>
      <c r="D270" t="s">
        <v>10</v>
      </c>
      <c r="E270" t="s">
        <v>492</v>
      </c>
      <c r="F270" t="s">
        <v>28</v>
      </c>
      <c r="G270" t="s">
        <v>493</v>
      </c>
      <c r="I270" s="37">
        <v>931.99</v>
      </c>
      <c r="L270" s="37">
        <v>931.99</v>
      </c>
      <c r="N270" s="37">
        <v>931.99</v>
      </c>
    </row>
    <row r="271" spans="1:14" x14ac:dyDescent="0.25">
      <c r="A271" s="1">
        <v>46049</v>
      </c>
      <c r="B271">
        <v>4</v>
      </c>
      <c r="C271" t="s">
        <v>541</v>
      </c>
      <c r="D271" t="s">
        <v>10</v>
      </c>
      <c r="E271" t="s">
        <v>494</v>
      </c>
      <c r="F271" t="s">
        <v>69</v>
      </c>
      <c r="G271" t="s">
        <v>349</v>
      </c>
      <c r="I271" s="37">
        <v>801.99</v>
      </c>
      <c r="K271" s="37">
        <v>801.99</v>
      </c>
      <c r="L271" s="37">
        <v>0</v>
      </c>
    </row>
    <row r="272" spans="1:14" x14ac:dyDescent="0.25">
      <c r="A272" s="1">
        <v>46049</v>
      </c>
      <c r="B272">
        <v>4</v>
      </c>
      <c r="C272" t="s">
        <v>541</v>
      </c>
      <c r="D272" t="s">
        <v>10</v>
      </c>
      <c r="E272" t="s">
        <v>495</v>
      </c>
      <c r="F272" t="s">
        <v>33</v>
      </c>
      <c r="G272" t="s">
        <v>349</v>
      </c>
      <c r="I272" s="37">
        <v>901.99</v>
      </c>
      <c r="J272" s="37">
        <v>22.86</v>
      </c>
      <c r="L272" s="37">
        <v>924.85</v>
      </c>
      <c r="N272" s="37">
        <v>924.85</v>
      </c>
    </row>
    <row r="273" spans="1:14" x14ac:dyDescent="0.25">
      <c r="A273" s="1">
        <v>46049</v>
      </c>
      <c r="B273">
        <v>4</v>
      </c>
      <c r="C273" t="s">
        <v>541</v>
      </c>
      <c r="D273" t="s">
        <v>10</v>
      </c>
      <c r="E273" t="s">
        <v>496</v>
      </c>
      <c r="F273" t="s">
        <v>403</v>
      </c>
      <c r="G273" t="s">
        <v>346</v>
      </c>
      <c r="I273" s="37">
        <v>1000</v>
      </c>
      <c r="L273" s="37">
        <v>1045</v>
      </c>
      <c r="N273" s="37">
        <v>1000</v>
      </c>
    </row>
    <row r="274" spans="1:14" x14ac:dyDescent="0.25">
      <c r="A274" s="1">
        <v>46049</v>
      </c>
      <c r="B274">
        <v>4</v>
      </c>
      <c r="C274" t="s">
        <v>542</v>
      </c>
      <c r="D274" t="s">
        <v>99</v>
      </c>
      <c r="E274" t="s">
        <v>497</v>
      </c>
      <c r="F274" t="s">
        <v>498</v>
      </c>
      <c r="I274" s="37">
        <v>901.99</v>
      </c>
      <c r="L274" s="37">
        <v>901.99</v>
      </c>
    </row>
    <row r="275" spans="1:14" x14ac:dyDescent="0.25">
      <c r="A275" s="1">
        <v>46049</v>
      </c>
      <c r="B275">
        <v>4</v>
      </c>
      <c r="C275" t="s">
        <v>541</v>
      </c>
      <c r="D275" t="s">
        <v>10</v>
      </c>
      <c r="E275" t="s">
        <v>499</v>
      </c>
      <c r="F275" t="s">
        <v>500</v>
      </c>
      <c r="G275" t="s">
        <v>363</v>
      </c>
      <c r="I275" s="37">
        <v>1100</v>
      </c>
      <c r="L275" s="37">
        <v>1100</v>
      </c>
      <c r="M275" s="37">
        <v>290</v>
      </c>
      <c r="N275" s="37">
        <v>1100</v>
      </c>
    </row>
    <row r="276" spans="1:14" x14ac:dyDescent="0.25">
      <c r="A276" s="1">
        <v>46049</v>
      </c>
      <c r="B276">
        <v>4</v>
      </c>
      <c r="C276" t="s">
        <v>542</v>
      </c>
      <c r="D276" t="s">
        <v>136</v>
      </c>
      <c r="E276" t="s">
        <v>501</v>
      </c>
      <c r="F276" t="s">
        <v>12</v>
      </c>
      <c r="G276" t="s">
        <v>346</v>
      </c>
      <c r="I276" s="37">
        <v>746.99</v>
      </c>
      <c r="L276" s="37">
        <v>746.99</v>
      </c>
    </row>
    <row r="277" spans="1:14" x14ac:dyDescent="0.25">
      <c r="A277" s="1">
        <v>46049</v>
      </c>
      <c r="B277">
        <v>4</v>
      </c>
      <c r="C277" t="s">
        <v>542</v>
      </c>
      <c r="D277" t="s">
        <v>99</v>
      </c>
      <c r="E277" t="s">
        <v>502</v>
      </c>
      <c r="F277" t="s">
        <v>55</v>
      </c>
      <c r="G277" t="s">
        <v>346</v>
      </c>
      <c r="I277" s="37">
        <v>746.99</v>
      </c>
      <c r="K277" s="37">
        <v>425.72</v>
      </c>
      <c r="L277" s="37">
        <v>321.27</v>
      </c>
      <c r="N277" s="37">
        <v>321.27</v>
      </c>
    </row>
    <row r="278" spans="1:14" x14ac:dyDescent="0.25">
      <c r="A278" s="1">
        <v>46049</v>
      </c>
      <c r="B278">
        <v>4</v>
      </c>
      <c r="C278" t="s">
        <v>542</v>
      </c>
      <c r="D278" t="s">
        <v>99</v>
      </c>
      <c r="E278" t="s">
        <v>503</v>
      </c>
      <c r="F278" t="s">
        <v>69</v>
      </c>
      <c r="G278" t="s">
        <v>349</v>
      </c>
      <c r="I278" s="37">
        <v>801.99</v>
      </c>
      <c r="L278" s="37">
        <v>801.99</v>
      </c>
    </row>
    <row r="279" spans="1:14" x14ac:dyDescent="0.25">
      <c r="A279" s="1">
        <v>46049</v>
      </c>
      <c r="B279">
        <v>4</v>
      </c>
      <c r="C279" t="s">
        <v>542</v>
      </c>
      <c r="D279" t="s">
        <v>99</v>
      </c>
      <c r="E279" t="s">
        <v>504</v>
      </c>
      <c r="F279" t="s">
        <v>37</v>
      </c>
      <c r="G279" t="s">
        <v>420</v>
      </c>
      <c r="I279" s="37">
        <v>746.99</v>
      </c>
      <c r="L279" s="37">
        <v>746.99</v>
      </c>
    </row>
    <row r="280" spans="1:14" x14ac:dyDescent="0.25">
      <c r="A280" s="1">
        <v>46049</v>
      </c>
      <c r="B280">
        <v>4</v>
      </c>
      <c r="C280" t="s">
        <v>542</v>
      </c>
      <c r="D280" t="s">
        <v>99</v>
      </c>
      <c r="E280" t="s">
        <v>505</v>
      </c>
      <c r="F280" t="s">
        <v>158</v>
      </c>
      <c r="G280" t="s">
        <v>346</v>
      </c>
      <c r="I280" s="37">
        <v>746.99</v>
      </c>
      <c r="L280" s="37">
        <v>746.99</v>
      </c>
    </row>
    <row r="281" spans="1:14" x14ac:dyDescent="0.25">
      <c r="A281" s="1">
        <v>46049</v>
      </c>
      <c r="B281">
        <v>4</v>
      </c>
      <c r="C281" t="s">
        <v>542</v>
      </c>
      <c r="D281" t="s">
        <v>136</v>
      </c>
      <c r="E281" t="s">
        <v>506</v>
      </c>
      <c r="F281" t="s">
        <v>158</v>
      </c>
      <c r="G281" t="s">
        <v>346</v>
      </c>
      <c r="I281" s="37">
        <v>746.99</v>
      </c>
      <c r="L281" s="37">
        <v>746.99</v>
      </c>
    </row>
    <row r="282" spans="1:14" x14ac:dyDescent="0.25">
      <c r="A282" s="1">
        <v>46049</v>
      </c>
      <c r="B282">
        <v>4</v>
      </c>
      <c r="C282" t="s">
        <v>542</v>
      </c>
      <c r="D282" t="s">
        <v>99</v>
      </c>
      <c r="E282" t="s">
        <v>507</v>
      </c>
      <c r="F282" t="s">
        <v>403</v>
      </c>
      <c r="G282" t="s">
        <v>346</v>
      </c>
      <c r="I282" s="37">
        <v>1000</v>
      </c>
      <c r="L282" s="37">
        <v>1000</v>
      </c>
    </row>
    <row r="283" spans="1:14" x14ac:dyDescent="0.25">
      <c r="A283" s="1">
        <v>46049</v>
      </c>
      <c r="B283">
        <v>4</v>
      </c>
      <c r="C283" t="s">
        <v>542</v>
      </c>
      <c r="D283" t="s">
        <v>234</v>
      </c>
      <c r="E283" t="s">
        <v>508</v>
      </c>
      <c r="F283" t="s">
        <v>158</v>
      </c>
      <c r="G283" t="s">
        <v>346</v>
      </c>
      <c r="I283" s="37">
        <v>746.99</v>
      </c>
      <c r="L283" s="37">
        <v>746.99</v>
      </c>
    </row>
    <row r="284" spans="1:14" x14ac:dyDescent="0.25">
      <c r="A284" s="1">
        <v>46049</v>
      </c>
      <c r="B284">
        <v>4</v>
      </c>
      <c r="C284" t="s">
        <v>542</v>
      </c>
      <c r="D284" t="s">
        <v>99</v>
      </c>
      <c r="E284" t="s">
        <v>509</v>
      </c>
      <c r="F284" t="s">
        <v>12</v>
      </c>
      <c r="G284" t="s">
        <v>346</v>
      </c>
      <c r="I284" s="37">
        <v>746.99</v>
      </c>
      <c r="L284" s="37">
        <v>746.99</v>
      </c>
    </row>
    <row r="285" spans="1:14" x14ac:dyDescent="0.25">
      <c r="A285" s="1">
        <v>46049</v>
      </c>
      <c r="B285">
        <v>4</v>
      </c>
      <c r="C285" t="s">
        <v>542</v>
      </c>
      <c r="D285" t="s">
        <v>99</v>
      </c>
      <c r="E285" t="s">
        <v>510</v>
      </c>
      <c r="F285" t="s">
        <v>55</v>
      </c>
      <c r="G285" t="s">
        <v>346</v>
      </c>
      <c r="I285" s="37">
        <v>746.99</v>
      </c>
      <c r="L285" s="37">
        <v>746.99</v>
      </c>
    </row>
    <row r="286" spans="1:14" x14ac:dyDescent="0.25">
      <c r="A286" s="1">
        <v>46049</v>
      </c>
      <c r="B286">
        <v>4</v>
      </c>
      <c r="C286" t="s">
        <v>542</v>
      </c>
      <c r="D286" t="s">
        <v>99</v>
      </c>
      <c r="E286" t="s">
        <v>511</v>
      </c>
      <c r="F286" t="s">
        <v>512</v>
      </c>
      <c r="G286" t="s">
        <v>346</v>
      </c>
      <c r="I286" s="37">
        <v>746.99</v>
      </c>
      <c r="L286" s="37">
        <v>746.99</v>
      </c>
    </row>
    <row r="287" spans="1:14" x14ac:dyDescent="0.25">
      <c r="A287" s="1">
        <v>46049</v>
      </c>
      <c r="B287">
        <v>4</v>
      </c>
      <c r="C287" t="s">
        <v>542</v>
      </c>
      <c r="D287" t="s">
        <v>99</v>
      </c>
      <c r="E287" t="s">
        <v>513</v>
      </c>
      <c r="F287" t="s">
        <v>514</v>
      </c>
      <c r="G287" t="s">
        <v>515</v>
      </c>
      <c r="I287" s="37">
        <v>746.99</v>
      </c>
      <c r="L287" s="37">
        <v>746.99</v>
      </c>
    </row>
    <row r="288" spans="1:14" x14ac:dyDescent="0.25">
      <c r="A288" s="1">
        <v>46049</v>
      </c>
      <c r="B288">
        <v>4</v>
      </c>
      <c r="C288" t="s">
        <v>542</v>
      </c>
      <c r="D288" t="s">
        <v>99</v>
      </c>
      <c r="E288" t="s">
        <v>317</v>
      </c>
      <c r="F288" t="s">
        <v>101</v>
      </c>
      <c r="G288" t="s">
        <v>346</v>
      </c>
      <c r="I288" s="37">
        <v>1351.99</v>
      </c>
      <c r="L288" s="37">
        <v>1351.99</v>
      </c>
    </row>
    <row r="289" spans="1:13" x14ac:dyDescent="0.25">
      <c r="A289" s="1">
        <v>46049</v>
      </c>
      <c r="B289">
        <v>4</v>
      </c>
      <c r="C289" t="s">
        <v>542</v>
      </c>
      <c r="D289" t="s">
        <v>234</v>
      </c>
      <c r="E289" t="s">
        <v>516</v>
      </c>
      <c r="F289" t="s">
        <v>517</v>
      </c>
      <c r="G289" t="s">
        <v>349</v>
      </c>
      <c r="I289" s="37">
        <v>801.99</v>
      </c>
      <c r="L289" s="37">
        <v>801.99</v>
      </c>
      <c r="M289" s="37">
        <v>102.58</v>
      </c>
    </row>
    <row r="290" spans="1:13" x14ac:dyDescent="0.25">
      <c r="A290" s="1">
        <v>46049</v>
      </c>
      <c r="B290">
        <v>4</v>
      </c>
      <c r="C290" t="s">
        <v>542</v>
      </c>
      <c r="D290" t="s">
        <v>234</v>
      </c>
      <c r="E290" t="s">
        <v>518</v>
      </c>
      <c r="F290" t="s">
        <v>385</v>
      </c>
      <c r="G290" t="s">
        <v>349</v>
      </c>
      <c r="I290" s="37"/>
    </row>
    <row r="291" spans="1:13" x14ac:dyDescent="0.25">
      <c r="A291" s="1">
        <v>46049</v>
      </c>
      <c r="B291">
        <v>4</v>
      </c>
      <c r="C291" t="s">
        <v>542</v>
      </c>
      <c r="D291" t="s">
        <v>99</v>
      </c>
      <c r="E291" t="s">
        <v>519</v>
      </c>
      <c r="F291" t="s">
        <v>520</v>
      </c>
      <c r="G291" t="s">
        <v>349</v>
      </c>
      <c r="I291" s="37">
        <v>746.99</v>
      </c>
      <c r="L291" s="37">
        <v>746.99</v>
      </c>
      <c r="M291" s="37">
        <v>20</v>
      </c>
    </row>
    <row r="292" spans="1:13" x14ac:dyDescent="0.25">
      <c r="A292" s="1">
        <v>46049</v>
      </c>
      <c r="B292">
        <v>4</v>
      </c>
      <c r="C292" t="s">
        <v>542</v>
      </c>
      <c r="D292" t="s">
        <v>99</v>
      </c>
      <c r="E292" t="s">
        <v>521</v>
      </c>
      <c r="F292" t="s">
        <v>522</v>
      </c>
      <c r="G292" t="s">
        <v>523</v>
      </c>
      <c r="I292" s="37">
        <v>931.99</v>
      </c>
      <c r="L292" s="37">
        <v>931.99</v>
      </c>
    </row>
    <row r="293" spans="1:13" x14ac:dyDescent="0.25">
      <c r="A293" s="1">
        <v>46049</v>
      </c>
      <c r="B293">
        <v>4</v>
      </c>
      <c r="C293" t="s">
        <v>542</v>
      </c>
      <c r="D293" t="s">
        <v>99</v>
      </c>
      <c r="E293" t="s">
        <v>318</v>
      </c>
      <c r="F293" t="s">
        <v>12</v>
      </c>
      <c r="G293" t="s">
        <v>346</v>
      </c>
      <c r="I293" s="37">
        <v>746.99</v>
      </c>
      <c r="L293" s="37">
        <v>746.99</v>
      </c>
    </row>
    <row r="294" spans="1:13" x14ac:dyDescent="0.25">
      <c r="A294" s="1">
        <v>46049</v>
      </c>
      <c r="B294">
        <v>4</v>
      </c>
      <c r="C294" t="s">
        <v>542</v>
      </c>
      <c r="D294" t="s">
        <v>99</v>
      </c>
      <c r="E294" t="s">
        <v>524</v>
      </c>
      <c r="F294" t="s">
        <v>41</v>
      </c>
      <c r="G294" t="s">
        <v>420</v>
      </c>
      <c r="I294" s="37">
        <v>746.99</v>
      </c>
      <c r="L294" s="37">
        <v>746.99</v>
      </c>
    </row>
    <row r="295" spans="1:13" x14ac:dyDescent="0.25">
      <c r="A295" s="1">
        <v>46049</v>
      </c>
      <c r="B295">
        <v>4</v>
      </c>
      <c r="C295" t="s">
        <v>542</v>
      </c>
      <c r="D295" t="s">
        <v>136</v>
      </c>
      <c r="E295" t="s">
        <v>525</v>
      </c>
      <c r="F295" t="s">
        <v>158</v>
      </c>
      <c r="G295" t="s">
        <v>346</v>
      </c>
      <c r="I295" s="37"/>
      <c r="L295" s="37">
        <v>0</v>
      </c>
    </row>
    <row r="296" spans="1:13" x14ac:dyDescent="0.25">
      <c r="A296" s="1">
        <v>46049</v>
      </c>
      <c r="B296">
        <v>4</v>
      </c>
      <c r="C296" t="s">
        <v>542</v>
      </c>
      <c r="D296" t="s">
        <v>99</v>
      </c>
      <c r="E296" t="s">
        <v>526</v>
      </c>
      <c r="F296" t="s">
        <v>158</v>
      </c>
      <c r="G296" t="s">
        <v>346</v>
      </c>
      <c r="I296" s="37">
        <v>746.99</v>
      </c>
      <c r="L296" s="37">
        <v>746.99</v>
      </c>
    </row>
    <row r="297" spans="1:13" x14ac:dyDescent="0.25">
      <c r="A297" s="1">
        <v>46049</v>
      </c>
      <c r="B297">
        <v>4</v>
      </c>
      <c r="C297" t="s">
        <v>542</v>
      </c>
      <c r="D297" t="s">
        <v>99</v>
      </c>
      <c r="E297" t="s">
        <v>319</v>
      </c>
      <c r="F297" t="s">
        <v>158</v>
      </c>
      <c r="G297" t="s">
        <v>346</v>
      </c>
      <c r="I297" s="37">
        <v>746.99</v>
      </c>
      <c r="L297" s="37">
        <v>746.99</v>
      </c>
    </row>
    <row r="298" spans="1:13" x14ac:dyDescent="0.25">
      <c r="A298" s="1">
        <v>46049</v>
      </c>
      <c r="B298">
        <v>4</v>
      </c>
      <c r="C298" t="s">
        <v>542</v>
      </c>
      <c r="D298" t="s">
        <v>99</v>
      </c>
      <c r="E298" t="s">
        <v>527</v>
      </c>
      <c r="F298" t="s">
        <v>158</v>
      </c>
      <c r="G298" t="s">
        <v>346</v>
      </c>
      <c r="I298" s="37">
        <v>746.99</v>
      </c>
      <c r="L298" s="37">
        <v>746.99</v>
      </c>
    </row>
    <row r="299" spans="1:13" x14ac:dyDescent="0.25">
      <c r="A299" s="1">
        <v>46049</v>
      </c>
      <c r="B299">
        <v>4</v>
      </c>
      <c r="C299" t="s">
        <v>542</v>
      </c>
      <c r="D299" t="s">
        <v>99</v>
      </c>
      <c r="E299" t="s">
        <v>320</v>
      </c>
      <c r="F299" t="s">
        <v>55</v>
      </c>
      <c r="G299" t="s">
        <v>346</v>
      </c>
      <c r="I299" s="37">
        <v>746.99</v>
      </c>
      <c r="L299" s="37">
        <v>746.99</v>
      </c>
    </row>
    <row r="300" spans="1:13" x14ac:dyDescent="0.25">
      <c r="A300" s="1">
        <v>46049</v>
      </c>
      <c r="B300">
        <v>4</v>
      </c>
      <c r="C300" t="s">
        <v>542</v>
      </c>
      <c r="D300" t="s">
        <v>336</v>
      </c>
      <c r="E300" t="s">
        <v>528</v>
      </c>
      <c r="F300" t="s">
        <v>158</v>
      </c>
      <c r="G300" t="s">
        <v>346</v>
      </c>
      <c r="I300" s="37">
        <v>746.99</v>
      </c>
      <c r="L300" s="37">
        <v>746.99</v>
      </c>
    </row>
    <row r="301" spans="1:13" x14ac:dyDescent="0.25">
      <c r="A301" s="1">
        <v>46049</v>
      </c>
      <c r="B301">
        <v>4</v>
      </c>
      <c r="C301" t="s">
        <v>542</v>
      </c>
      <c r="D301" t="s">
        <v>99</v>
      </c>
      <c r="E301" t="s">
        <v>321</v>
      </c>
      <c r="F301" t="s">
        <v>158</v>
      </c>
      <c r="G301" t="s">
        <v>346</v>
      </c>
      <c r="I301" s="37">
        <v>746.99</v>
      </c>
      <c r="L301" s="37">
        <v>746.99</v>
      </c>
    </row>
    <row r="302" spans="1:13" x14ac:dyDescent="0.25">
      <c r="A302" s="1">
        <v>46049</v>
      </c>
      <c r="B302">
        <v>4</v>
      </c>
      <c r="C302" t="s">
        <v>542</v>
      </c>
      <c r="D302" t="s">
        <v>99</v>
      </c>
      <c r="E302" t="s">
        <v>322</v>
      </c>
      <c r="F302" t="s">
        <v>158</v>
      </c>
      <c r="G302" t="s">
        <v>346</v>
      </c>
      <c r="I302" s="37">
        <v>746.99</v>
      </c>
      <c r="L302" s="37">
        <v>746.99</v>
      </c>
    </row>
    <row r="303" spans="1:13" x14ac:dyDescent="0.25">
      <c r="A303" s="1">
        <v>46049</v>
      </c>
      <c r="B303">
        <v>4</v>
      </c>
      <c r="C303" t="s">
        <v>542</v>
      </c>
      <c r="D303" t="s">
        <v>99</v>
      </c>
      <c r="E303" t="s">
        <v>323</v>
      </c>
      <c r="F303" t="s">
        <v>158</v>
      </c>
      <c r="G303" t="s">
        <v>346</v>
      </c>
      <c r="I303" s="37">
        <v>746.99</v>
      </c>
      <c r="L303" s="37">
        <v>746.99</v>
      </c>
    </row>
    <row r="304" spans="1:13" x14ac:dyDescent="0.25">
      <c r="A304" s="1">
        <v>46049</v>
      </c>
      <c r="B304">
        <v>4</v>
      </c>
      <c r="C304" t="s">
        <v>542</v>
      </c>
      <c r="D304" t="s">
        <v>99</v>
      </c>
      <c r="E304" t="s">
        <v>324</v>
      </c>
      <c r="F304" t="s">
        <v>158</v>
      </c>
      <c r="G304" t="s">
        <v>346</v>
      </c>
      <c r="I304" s="37">
        <v>746</v>
      </c>
      <c r="L304" s="37">
        <v>746</v>
      </c>
    </row>
    <row r="305" spans="1:14" x14ac:dyDescent="0.25">
      <c r="A305" s="1">
        <v>46049</v>
      </c>
      <c r="B305">
        <v>4</v>
      </c>
      <c r="C305" t="s">
        <v>542</v>
      </c>
      <c r="D305" t="s">
        <v>99</v>
      </c>
      <c r="E305" t="s">
        <v>529</v>
      </c>
      <c r="F305" t="s">
        <v>55</v>
      </c>
      <c r="G305" t="s">
        <v>346</v>
      </c>
      <c r="I305" s="37">
        <v>746.99</v>
      </c>
      <c r="L305" s="37">
        <v>746.99</v>
      </c>
    </row>
    <row r="306" spans="1:14" x14ac:dyDescent="0.25">
      <c r="A306" s="1">
        <v>46049</v>
      </c>
      <c r="B306">
        <v>4</v>
      </c>
      <c r="C306" t="s">
        <v>542</v>
      </c>
      <c r="D306" t="s">
        <v>336</v>
      </c>
      <c r="E306" t="s">
        <v>530</v>
      </c>
      <c r="F306" t="s">
        <v>52</v>
      </c>
      <c r="G306" t="s">
        <v>515</v>
      </c>
      <c r="I306" s="37">
        <v>1251.99</v>
      </c>
      <c r="L306" s="37">
        <v>1251.99</v>
      </c>
    </row>
    <row r="307" spans="1:14" x14ac:dyDescent="0.25">
      <c r="A307" s="1">
        <v>46049</v>
      </c>
      <c r="B307">
        <v>4</v>
      </c>
      <c r="C307" t="s">
        <v>542</v>
      </c>
      <c r="D307" t="s">
        <v>99</v>
      </c>
      <c r="E307" t="s">
        <v>531</v>
      </c>
      <c r="F307" t="s">
        <v>158</v>
      </c>
      <c r="G307" t="s">
        <v>346</v>
      </c>
      <c r="I307" s="37">
        <v>746.99</v>
      </c>
      <c r="L307" s="37">
        <v>746.99</v>
      </c>
    </row>
    <row r="308" spans="1:14" x14ac:dyDescent="0.25">
      <c r="A308" s="1">
        <v>46049</v>
      </c>
      <c r="B308">
        <v>4</v>
      </c>
      <c r="C308" t="s">
        <v>542</v>
      </c>
      <c r="D308" t="s">
        <v>99</v>
      </c>
      <c r="E308" t="s">
        <v>325</v>
      </c>
      <c r="F308" t="s">
        <v>158</v>
      </c>
      <c r="G308" t="s">
        <v>346</v>
      </c>
      <c r="I308" s="37">
        <v>746.99</v>
      </c>
      <c r="L308" s="37">
        <v>746.99</v>
      </c>
    </row>
    <row r="309" spans="1:14" x14ac:dyDescent="0.25">
      <c r="A309" s="1">
        <v>46049</v>
      </c>
      <c r="B309">
        <v>4</v>
      </c>
      <c r="C309" t="s">
        <v>542</v>
      </c>
      <c r="D309" t="s">
        <v>99</v>
      </c>
      <c r="E309" t="s">
        <v>532</v>
      </c>
      <c r="F309" t="s">
        <v>55</v>
      </c>
      <c r="G309" t="s">
        <v>346</v>
      </c>
      <c r="I309" s="37">
        <v>745</v>
      </c>
      <c r="L309" s="37">
        <v>745</v>
      </c>
    </row>
    <row r="310" spans="1:14" x14ac:dyDescent="0.25">
      <c r="A310" s="1">
        <v>46049</v>
      </c>
      <c r="B310">
        <v>4</v>
      </c>
      <c r="C310" t="s">
        <v>542</v>
      </c>
      <c r="D310" t="s">
        <v>336</v>
      </c>
      <c r="E310" t="s">
        <v>533</v>
      </c>
      <c r="F310" t="s">
        <v>211</v>
      </c>
      <c r="G310" t="s">
        <v>346</v>
      </c>
      <c r="I310" s="37">
        <v>746.99</v>
      </c>
      <c r="L310" s="37">
        <v>746.99</v>
      </c>
    </row>
    <row r="311" spans="1:14" x14ac:dyDescent="0.25">
      <c r="A311" s="1">
        <v>46049</v>
      </c>
      <c r="B311">
        <v>4</v>
      </c>
      <c r="C311" t="s">
        <v>542</v>
      </c>
      <c r="D311" t="s">
        <v>99</v>
      </c>
      <c r="E311" t="s">
        <v>534</v>
      </c>
      <c r="F311" t="s">
        <v>535</v>
      </c>
      <c r="G311" t="s">
        <v>493</v>
      </c>
      <c r="I311" s="37"/>
      <c r="L311" s="37">
        <v>0</v>
      </c>
    </row>
    <row r="312" spans="1:14" x14ac:dyDescent="0.25">
      <c r="A312" s="1">
        <v>46049</v>
      </c>
      <c r="B312">
        <v>4</v>
      </c>
      <c r="C312" t="s">
        <v>542</v>
      </c>
      <c r="D312" t="s">
        <v>336</v>
      </c>
      <c r="E312" t="s">
        <v>536</v>
      </c>
      <c r="F312" t="s">
        <v>52</v>
      </c>
      <c r="G312" t="s">
        <v>359</v>
      </c>
      <c r="I312" s="37">
        <v>1251.99</v>
      </c>
      <c r="L312" s="37">
        <v>1251.99</v>
      </c>
    </row>
    <row r="313" spans="1:14" x14ac:dyDescent="0.25">
      <c r="A313" s="1">
        <v>46049</v>
      </c>
      <c r="B313">
        <v>4</v>
      </c>
      <c r="C313" t="s">
        <v>542</v>
      </c>
      <c r="D313" t="s">
        <v>336</v>
      </c>
      <c r="E313" t="s">
        <v>537</v>
      </c>
      <c r="F313" t="s">
        <v>407</v>
      </c>
      <c r="G313" t="s">
        <v>346</v>
      </c>
      <c r="I313" s="37">
        <v>801.99</v>
      </c>
      <c r="L313" s="37">
        <v>801.99</v>
      </c>
    </row>
    <row r="314" spans="1:14" x14ac:dyDescent="0.25">
      <c r="A314" s="1">
        <v>46049</v>
      </c>
      <c r="B314">
        <v>4</v>
      </c>
      <c r="C314" t="s">
        <v>542</v>
      </c>
      <c r="D314" t="s">
        <v>99</v>
      </c>
      <c r="E314" t="s">
        <v>51</v>
      </c>
      <c r="F314" t="s">
        <v>52</v>
      </c>
      <c r="G314" t="s">
        <v>346</v>
      </c>
      <c r="I314" s="37">
        <v>1251.99</v>
      </c>
      <c r="L314" s="37">
        <v>1251.99</v>
      </c>
    </row>
    <row r="315" spans="1:14" x14ac:dyDescent="0.25">
      <c r="A315" s="1">
        <v>46049</v>
      </c>
      <c r="B315">
        <v>4</v>
      </c>
      <c r="C315" t="s">
        <v>542</v>
      </c>
      <c r="D315" t="s">
        <v>99</v>
      </c>
      <c r="E315" t="s">
        <v>538</v>
      </c>
      <c r="F315" t="s">
        <v>178</v>
      </c>
      <c r="G315" t="s">
        <v>409</v>
      </c>
      <c r="I315" s="37">
        <v>801.99</v>
      </c>
      <c r="L315" s="37">
        <v>801.99</v>
      </c>
    </row>
    <row r="316" spans="1:14" x14ac:dyDescent="0.25">
      <c r="A316" s="1">
        <v>46049</v>
      </c>
      <c r="B316">
        <v>4</v>
      </c>
      <c r="C316" t="s">
        <v>542</v>
      </c>
      <c r="D316" t="s">
        <v>99</v>
      </c>
      <c r="E316" t="s">
        <v>326</v>
      </c>
      <c r="F316" t="s">
        <v>52</v>
      </c>
      <c r="G316" t="s">
        <v>346</v>
      </c>
      <c r="I316" s="37">
        <v>1251.99</v>
      </c>
      <c r="L316" s="37">
        <v>1251.99</v>
      </c>
    </row>
    <row r="317" spans="1:14" x14ac:dyDescent="0.25">
      <c r="A317" s="1">
        <v>46049</v>
      </c>
      <c r="B317">
        <v>4</v>
      </c>
      <c r="C317" t="s">
        <v>542</v>
      </c>
      <c r="D317" t="s">
        <v>336</v>
      </c>
      <c r="E317" t="s">
        <v>539</v>
      </c>
      <c r="F317" t="s">
        <v>55</v>
      </c>
      <c r="G317" t="s">
        <v>493</v>
      </c>
      <c r="I317" s="37">
        <v>746.99</v>
      </c>
      <c r="L317" s="37">
        <v>746.99</v>
      </c>
    </row>
    <row r="318" spans="1:14" x14ac:dyDescent="0.25">
      <c r="A318" s="1">
        <v>46042</v>
      </c>
      <c r="B318">
        <v>3</v>
      </c>
      <c r="C318" t="s">
        <v>541</v>
      </c>
      <c r="D318" t="s">
        <v>10</v>
      </c>
      <c r="E318" t="s">
        <v>11</v>
      </c>
      <c r="F318" t="s">
        <v>12</v>
      </c>
      <c r="G318" t="s">
        <v>13</v>
      </c>
      <c r="I318" s="37">
        <v>746.99</v>
      </c>
      <c r="K318" s="37">
        <v>321.27999999999997</v>
      </c>
      <c r="L318" s="37">
        <v>425.71</v>
      </c>
      <c r="N318" s="37">
        <v>425.71</v>
      </c>
    </row>
    <row r="319" spans="1:14" x14ac:dyDescent="0.25">
      <c r="A319" s="1">
        <v>46042</v>
      </c>
      <c r="B319">
        <v>3</v>
      </c>
      <c r="C319" t="s">
        <v>541</v>
      </c>
      <c r="D319" t="s">
        <v>10</v>
      </c>
      <c r="E319" t="s">
        <v>15</v>
      </c>
      <c r="F319" t="s">
        <v>16</v>
      </c>
      <c r="G319" t="s">
        <v>13</v>
      </c>
      <c r="I319" s="37">
        <v>1251.99</v>
      </c>
      <c r="K319" s="37">
        <v>356.99</v>
      </c>
      <c r="L319" s="37">
        <v>895</v>
      </c>
      <c r="N319" s="37">
        <v>895</v>
      </c>
    </row>
    <row r="320" spans="1:14" x14ac:dyDescent="0.25">
      <c r="A320" s="1">
        <v>46042</v>
      </c>
      <c r="B320">
        <v>3</v>
      </c>
      <c r="C320" t="s">
        <v>541</v>
      </c>
      <c r="D320" t="s">
        <v>10</v>
      </c>
      <c r="E320" t="s">
        <v>18</v>
      </c>
      <c r="F320" t="s">
        <v>12</v>
      </c>
      <c r="G320" t="s">
        <v>13</v>
      </c>
      <c r="I320" s="37">
        <v>746.99</v>
      </c>
      <c r="K320" s="37">
        <v>1.99</v>
      </c>
      <c r="L320" s="37">
        <v>745</v>
      </c>
      <c r="N320" s="37">
        <v>745</v>
      </c>
    </row>
    <row r="321" spans="1:14" x14ac:dyDescent="0.25">
      <c r="A321" s="1">
        <v>46042</v>
      </c>
      <c r="B321">
        <v>3</v>
      </c>
      <c r="C321" t="s">
        <v>541</v>
      </c>
      <c r="D321" t="s">
        <v>10</v>
      </c>
      <c r="E321" t="s">
        <v>20</v>
      </c>
      <c r="F321" t="s">
        <v>21</v>
      </c>
      <c r="G321" t="s">
        <v>22</v>
      </c>
      <c r="I321" s="37">
        <v>651.99</v>
      </c>
      <c r="K321" s="37">
        <v>204.99</v>
      </c>
      <c r="L321" s="37">
        <v>447</v>
      </c>
      <c r="N321" s="37">
        <v>447</v>
      </c>
    </row>
    <row r="322" spans="1:14" x14ac:dyDescent="0.25">
      <c r="A322" s="1">
        <v>46042</v>
      </c>
      <c r="B322">
        <v>3</v>
      </c>
      <c r="C322" t="s">
        <v>541</v>
      </c>
      <c r="D322" t="s">
        <v>10</v>
      </c>
      <c r="E322" t="s">
        <v>24</v>
      </c>
      <c r="F322" t="s">
        <v>25</v>
      </c>
      <c r="G322" t="s">
        <v>13</v>
      </c>
      <c r="I322" s="37">
        <v>1450</v>
      </c>
      <c r="L322" s="37">
        <v>1450</v>
      </c>
      <c r="N322" s="37">
        <v>1450</v>
      </c>
    </row>
    <row r="323" spans="1:14" x14ac:dyDescent="0.25">
      <c r="A323" s="1">
        <v>46042</v>
      </c>
      <c r="B323">
        <v>3</v>
      </c>
      <c r="C323" t="s">
        <v>541</v>
      </c>
      <c r="D323" t="s">
        <v>10</v>
      </c>
      <c r="E323" t="s">
        <v>27</v>
      </c>
      <c r="F323" t="s">
        <v>28</v>
      </c>
      <c r="G323" t="s">
        <v>13</v>
      </c>
      <c r="I323" s="37">
        <v>931.99</v>
      </c>
      <c r="K323" s="37">
        <v>1.99</v>
      </c>
      <c r="L323" s="37">
        <v>930</v>
      </c>
      <c r="N323" s="37">
        <v>930</v>
      </c>
    </row>
    <row r="324" spans="1:14" x14ac:dyDescent="0.25">
      <c r="A324" s="1">
        <v>46042</v>
      </c>
      <c r="B324">
        <v>3</v>
      </c>
      <c r="C324" t="s">
        <v>541</v>
      </c>
      <c r="D324" t="s">
        <v>10</v>
      </c>
      <c r="E324" t="s">
        <v>297</v>
      </c>
      <c r="F324" t="s">
        <v>298</v>
      </c>
      <c r="G324" t="s">
        <v>299</v>
      </c>
      <c r="I324" s="37">
        <v>801.99</v>
      </c>
      <c r="K324" s="37">
        <v>342.87</v>
      </c>
      <c r="L324" s="37">
        <v>459.12</v>
      </c>
      <c r="N324" s="37">
        <v>459.12</v>
      </c>
    </row>
    <row r="325" spans="1:14" x14ac:dyDescent="0.25">
      <c r="A325" s="1">
        <v>46042</v>
      </c>
      <c r="B325">
        <v>3</v>
      </c>
      <c r="C325" t="s">
        <v>542</v>
      </c>
      <c r="D325" t="s">
        <v>136</v>
      </c>
      <c r="E325" t="s">
        <v>303</v>
      </c>
      <c r="F325" t="s">
        <v>33</v>
      </c>
      <c r="G325" t="s">
        <v>13</v>
      </c>
      <c r="I325" s="37">
        <v>851.99</v>
      </c>
      <c r="L325" s="37">
        <v>851.99</v>
      </c>
    </row>
    <row r="326" spans="1:14" x14ac:dyDescent="0.25">
      <c r="A326" s="1">
        <v>46042</v>
      </c>
      <c r="B326">
        <v>3</v>
      </c>
      <c r="C326" t="s">
        <v>541</v>
      </c>
      <c r="D326" t="s">
        <v>10</v>
      </c>
      <c r="E326" t="s">
        <v>32</v>
      </c>
      <c r="F326" t="s">
        <v>33</v>
      </c>
      <c r="G326" t="s">
        <v>13</v>
      </c>
      <c r="I326" s="37">
        <v>851.99</v>
      </c>
      <c r="J326" s="37">
        <v>0.01</v>
      </c>
      <c r="L326" s="37">
        <v>852</v>
      </c>
      <c r="N326" s="37">
        <v>852</v>
      </c>
    </row>
    <row r="327" spans="1:14" x14ac:dyDescent="0.25">
      <c r="A327" s="1">
        <v>46042</v>
      </c>
      <c r="B327">
        <v>3</v>
      </c>
      <c r="C327" t="s">
        <v>541</v>
      </c>
      <c r="D327" t="s">
        <v>10</v>
      </c>
      <c r="E327" t="s">
        <v>34</v>
      </c>
      <c r="F327" t="s">
        <v>33</v>
      </c>
      <c r="G327" t="s">
        <v>13</v>
      </c>
      <c r="I327" s="37">
        <v>851.99</v>
      </c>
      <c r="J327" s="37">
        <v>30.01</v>
      </c>
      <c r="L327" s="37">
        <v>882</v>
      </c>
      <c r="N327" s="37">
        <v>882</v>
      </c>
    </row>
    <row r="328" spans="1:14" x14ac:dyDescent="0.25">
      <c r="A328" s="1">
        <v>46042</v>
      </c>
      <c r="B328">
        <v>3</v>
      </c>
      <c r="C328" t="s">
        <v>542</v>
      </c>
      <c r="D328" t="s">
        <v>99</v>
      </c>
      <c r="E328" t="s">
        <v>305</v>
      </c>
      <c r="F328" t="s">
        <v>41</v>
      </c>
      <c r="G328" t="s">
        <v>111</v>
      </c>
      <c r="I328" s="37">
        <v>746.99</v>
      </c>
      <c r="J328" s="37">
        <v>60</v>
      </c>
      <c r="L328" s="37">
        <v>806.99</v>
      </c>
    </row>
    <row r="329" spans="1:14" x14ac:dyDescent="0.25">
      <c r="A329" s="1">
        <v>46042</v>
      </c>
      <c r="B329">
        <v>3</v>
      </c>
      <c r="C329" t="s">
        <v>541</v>
      </c>
      <c r="D329" t="s">
        <v>10</v>
      </c>
      <c r="E329" t="s">
        <v>36</v>
      </c>
      <c r="F329" t="s">
        <v>37</v>
      </c>
      <c r="G329" t="s">
        <v>38</v>
      </c>
      <c r="I329" s="37">
        <v>746.99</v>
      </c>
      <c r="K329" s="37">
        <v>1.99</v>
      </c>
      <c r="L329" s="37">
        <v>745</v>
      </c>
      <c r="N329" s="37">
        <v>745</v>
      </c>
    </row>
    <row r="330" spans="1:14" x14ac:dyDescent="0.25">
      <c r="A330" s="1">
        <v>46042</v>
      </c>
      <c r="B330">
        <v>3</v>
      </c>
      <c r="C330" t="s">
        <v>542</v>
      </c>
      <c r="D330" t="s">
        <v>136</v>
      </c>
      <c r="E330" t="s">
        <v>307</v>
      </c>
      <c r="F330" t="s">
        <v>214</v>
      </c>
      <c r="G330" t="s">
        <v>66</v>
      </c>
      <c r="I330" s="37">
        <v>851.99</v>
      </c>
      <c r="L330" s="37">
        <v>851.99</v>
      </c>
    </row>
    <row r="331" spans="1:14" x14ac:dyDescent="0.25">
      <c r="A331" s="1">
        <v>46042</v>
      </c>
      <c r="B331">
        <v>3</v>
      </c>
      <c r="C331" t="s">
        <v>541</v>
      </c>
      <c r="D331" t="s">
        <v>10</v>
      </c>
      <c r="E331" t="s">
        <v>40</v>
      </c>
      <c r="F331" t="s">
        <v>41</v>
      </c>
      <c r="G331" t="s">
        <v>42</v>
      </c>
      <c r="I331" s="37">
        <v>746.99</v>
      </c>
      <c r="K331" s="37">
        <v>2.99</v>
      </c>
      <c r="L331" s="37">
        <v>744</v>
      </c>
      <c r="N331" s="37">
        <v>744</v>
      </c>
    </row>
    <row r="332" spans="1:14" x14ac:dyDescent="0.25">
      <c r="A332" s="1">
        <v>46042</v>
      </c>
      <c r="B332">
        <v>3</v>
      </c>
      <c r="C332" t="s">
        <v>541</v>
      </c>
      <c r="D332" t="s">
        <v>10</v>
      </c>
      <c r="E332" t="s">
        <v>44</v>
      </c>
      <c r="F332" t="s">
        <v>12</v>
      </c>
      <c r="G332" t="s">
        <v>13</v>
      </c>
      <c r="I332" s="37">
        <v>746.99</v>
      </c>
      <c r="L332" s="37">
        <v>746.99</v>
      </c>
      <c r="N332" s="37">
        <v>746.99</v>
      </c>
    </row>
    <row r="333" spans="1:14" x14ac:dyDescent="0.25">
      <c r="A333" s="1">
        <v>46042</v>
      </c>
      <c r="B333">
        <v>3</v>
      </c>
      <c r="C333" t="s">
        <v>541</v>
      </c>
      <c r="D333" t="s">
        <v>10</v>
      </c>
      <c r="E333" t="s">
        <v>46</v>
      </c>
      <c r="F333" t="s">
        <v>12</v>
      </c>
      <c r="G333" t="s">
        <v>13</v>
      </c>
      <c r="I333" s="37">
        <v>746.99</v>
      </c>
      <c r="J333" s="37">
        <v>30.01</v>
      </c>
      <c r="L333" s="37">
        <v>777</v>
      </c>
      <c r="N333" s="37">
        <v>777</v>
      </c>
    </row>
    <row r="334" spans="1:14" x14ac:dyDescent="0.25">
      <c r="A334" s="1">
        <v>46042</v>
      </c>
      <c r="B334">
        <v>3</v>
      </c>
      <c r="C334" t="s">
        <v>541</v>
      </c>
      <c r="D334" t="s">
        <v>48</v>
      </c>
      <c r="E334" t="s">
        <v>49</v>
      </c>
      <c r="F334" t="s">
        <v>12</v>
      </c>
      <c r="G334" t="s">
        <v>13</v>
      </c>
      <c r="I334" s="37">
        <v>746.99</v>
      </c>
      <c r="L334" s="37">
        <v>746.99</v>
      </c>
      <c r="N334" s="37">
        <v>500</v>
      </c>
    </row>
    <row r="335" spans="1:14" x14ac:dyDescent="0.25">
      <c r="A335" s="1">
        <v>46042</v>
      </c>
      <c r="B335">
        <v>3</v>
      </c>
      <c r="C335" t="s">
        <v>541</v>
      </c>
      <c r="D335" t="s">
        <v>10</v>
      </c>
      <c r="E335" t="s">
        <v>287</v>
      </c>
      <c r="F335" t="s">
        <v>52</v>
      </c>
      <c r="G335" t="s">
        <v>77</v>
      </c>
      <c r="I335" s="37">
        <v>1251.99</v>
      </c>
      <c r="J335" s="37">
        <v>0.01</v>
      </c>
      <c r="L335" s="37">
        <v>1252</v>
      </c>
      <c r="N335" s="37">
        <v>1252</v>
      </c>
    </row>
    <row r="336" spans="1:14" x14ac:dyDescent="0.25">
      <c r="A336" s="1">
        <v>46042</v>
      </c>
      <c r="B336">
        <v>3</v>
      </c>
      <c r="C336" t="s">
        <v>541</v>
      </c>
      <c r="D336" t="s">
        <v>10</v>
      </c>
      <c r="E336" t="s">
        <v>54</v>
      </c>
      <c r="F336" t="s">
        <v>55</v>
      </c>
      <c r="G336" t="s">
        <v>56</v>
      </c>
      <c r="I336" s="37">
        <v>746.99</v>
      </c>
      <c r="L336" s="37">
        <v>746.99</v>
      </c>
      <c r="N336" s="37">
        <v>746.99</v>
      </c>
    </row>
    <row r="337" spans="1:14" x14ac:dyDescent="0.25">
      <c r="A337" s="1">
        <v>46042</v>
      </c>
      <c r="B337">
        <v>3</v>
      </c>
      <c r="C337" t="s">
        <v>541</v>
      </c>
      <c r="D337" t="s">
        <v>10</v>
      </c>
      <c r="E337" t="s">
        <v>58</v>
      </c>
      <c r="F337" t="s">
        <v>37</v>
      </c>
      <c r="G337" t="s">
        <v>38</v>
      </c>
      <c r="I337" s="37">
        <v>746.99</v>
      </c>
      <c r="K337" s="37">
        <v>746.99</v>
      </c>
      <c r="L337" s="37">
        <v>0</v>
      </c>
    </row>
    <row r="338" spans="1:14" x14ac:dyDescent="0.25">
      <c r="A338" s="1">
        <v>46042</v>
      </c>
      <c r="B338">
        <v>3</v>
      </c>
      <c r="C338" t="s">
        <v>541</v>
      </c>
      <c r="D338" t="s">
        <v>10</v>
      </c>
      <c r="E338" t="s">
        <v>60</v>
      </c>
      <c r="F338" t="s">
        <v>52</v>
      </c>
      <c r="G338" t="s">
        <v>38</v>
      </c>
      <c r="I338" s="37">
        <v>1251.99</v>
      </c>
      <c r="L338" s="37">
        <v>1296.99</v>
      </c>
      <c r="N338" s="37">
        <v>1251.99</v>
      </c>
    </row>
    <row r="339" spans="1:14" x14ac:dyDescent="0.25">
      <c r="A339" s="1">
        <v>46042</v>
      </c>
      <c r="B339">
        <v>3</v>
      </c>
      <c r="C339" t="s">
        <v>541</v>
      </c>
      <c r="D339" t="s">
        <v>10</v>
      </c>
      <c r="E339" t="s">
        <v>64</v>
      </c>
      <c r="F339" t="s">
        <v>65</v>
      </c>
      <c r="G339" t="s">
        <v>66</v>
      </c>
      <c r="I339" s="37">
        <v>1381.99</v>
      </c>
      <c r="J339" s="37">
        <v>30</v>
      </c>
      <c r="L339" s="37">
        <v>1411.99</v>
      </c>
      <c r="N339" s="37">
        <v>1411.99</v>
      </c>
    </row>
    <row r="340" spans="1:14" x14ac:dyDescent="0.25">
      <c r="A340" s="1">
        <v>46042</v>
      </c>
      <c r="B340">
        <v>3</v>
      </c>
      <c r="C340" t="s">
        <v>541</v>
      </c>
      <c r="D340" t="s">
        <v>10</v>
      </c>
      <c r="E340" t="s">
        <v>68</v>
      </c>
      <c r="F340" t="s">
        <v>69</v>
      </c>
      <c r="G340" t="s">
        <v>70</v>
      </c>
      <c r="I340" s="37">
        <v>801.99</v>
      </c>
      <c r="L340" s="37">
        <v>801.99</v>
      </c>
      <c r="N340" s="37">
        <v>801.99</v>
      </c>
    </row>
    <row r="341" spans="1:14" x14ac:dyDescent="0.25">
      <c r="A341" s="1">
        <v>46042</v>
      </c>
      <c r="B341">
        <v>3</v>
      </c>
      <c r="C341" t="s">
        <v>541</v>
      </c>
      <c r="D341" t="s">
        <v>10</v>
      </c>
      <c r="E341" t="s">
        <v>72</v>
      </c>
      <c r="F341" t="s">
        <v>73</v>
      </c>
      <c r="G341" t="s">
        <v>13</v>
      </c>
      <c r="I341" s="37">
        <v>1850</v>
      </c>
      <c r="L341" s="37">
        <v>1850</v>
      </c>
      <c r="N341" s="37">
        <v>1850</v>
      </c>
    </row>
    <row r="342" spans="1:14" x14ac:dyDescent="0.25">
      <c r="A342" s="1">
        <v>46042</v>
      </c>
      <c r="B342">
        <v>3</v>
      </c>
      <c r="C342" t="s">
        <v>541</v>
      </c>
      <c r="D342" t="s">
        <v>10</v>
      </c>
      <c r="E342" t="s">
        <v>75</v>
      </c>
      <c r="F342" t="s">
        <v>76</v>
      </c>
      <c r="G342" t="s">
        <v>77</v>
      </c>
      <c r="I342" s="37">
        <v>1451.99</v>
      </c>
      <c r="L342" s="37">
        <v>1497.99</v>
      </c>
      <c r="N342" s="37">
        <v>1451.99</v>
      </c>
    </row>
    <row r="343" spans="1:14" x14ac:dyDescent="0.25">
      <c r="A343" s="1">
        <v>46042</v>
      </c>
      <c r="B343">
        <v>3</v>
      </c>
      <c r="C343" t="s">
        <v>541</v>
      </c>
      <c r="D343" t="s">
        <v>10</v>
      </c>
      <c r="E343" t="s">
        <v>79</v>
      </c>
      <c r="F343" t="s">
        <v>76</v>
      </c>
      <c r="G343" t="s">
        <v>77</v>
      </c>
      <c r="I343" s="37">
        <v>1451.99</v>
      </c>
      <c r="L343" s="37">
        <v>1451.99</v>
      </c>
      <c r="N343" s="37">
        <v>1451.99</v>
      </c>
    </row>
    <row r="344" spans="1:14" x14ac:dyDescent="0.25">
      <c r="A344" s="1">
        <v>46042</v>
      </c>
      <c r="B344">
        <v>3</v>
      </c>
      <c r="C344" t="s">
        <v>541</v>
      </c>
      <c r="D344" t="s">
        <v>10</v>
      </c>
      <c r="E344" t="s">
        <v>30</v>
      </c>
      <c r="F344" t="s">
        <v>28</v>
      </c>
      <c r="G344" t="s">
        <v>13</v>
      </c>
      <c r="I344" s="37">
        <v>931.99</v>
      </c>
      <c r="L344" s="37">
        <v>976.99</v>
      </c>
      <c r="N344" s="37">
        <v>931.99</v>
      </c>
    </row>
    <row r="345" spans="1:14" x14ac:dyDescent="0.25">
      <c r="A345" s="1">
        <v>46042</v>
      </c>
      <c r="B345">
        <v>3</v>
      </c>
      <c r="C345" t="s">
        <v>541</v>
      </c>
      <c r="D345" t="s">
        <v>10</v>
      </c>
      <c r="E345" t="s">
        <v>81</v>
      </c>
      <c r="F345" t="s">
        <v>12</v>
      </c>
      <c r="G345" t="s">
        <v>13</v>
      </c>
      <c r="I345" s="37">
        <v>746.99</v>
      </c>
      <c r="J345" s="37">
        <v>90</v>
      </c>
      <c r="L345" s="37">
        <v>836.99</v>
      </c>
      <c r="N345" s="37">
        <v>836.99</v>
      </c>
    </row>
    <row r="346" spans="1:14" x14ac:dyDescent="0.25">
      <c r="A346" s="1">
        <v>46042</v>
      </c>
      <c r="B346">
        <v>3</v>
      </c>
      <c r="C346" t="s">
        <v>541</v>
      </c>
      <c r="D346" t="s">
        <v>10</v>
      </c>
      <c r="E346" t="s">
        <v>83</v>
      </c>
      <c r="F346" t="s">
        <v>41</v>
      </c>
      <c r="G346" t="s">
        <v>13</v>
      </c>
      <c r="I346" s="37">
        <v>746.99</v>
      </c>
      <c r="K346" s="37">
        <v>1.99</v>
      </c>
      <c r="L346" s="37">
        <v>745</v>
      </c>
      <c r="N346" s="37">
        <v>745</v>
      </c>
    </row>
    <row r="347" spans="1:14" x14ac:dyDescent="0.25">
      <c r="A347" s="1">
        <v>46042</v>
      </c>
      <c r="B347">
        <v>3</v>
      </c>
      <c r="C347" t="s">
        <v>541</v>
      </c>
      <c r="D347" t="s">
        <v>10</v>
      </c>
      <c r="E347" t="s">
        <v>85</v>
      </c>
      <c r="F347" t="s">
        <v>28</v>
      </c>
      <c r="G347" t="s">
        <v>66</v>
      </c>
      <c r="I347" s="37">
        <v>931.99</v>
      </c>
      <c r="L347" s="37">
        <v>931.99</v>
      </c>
      <c r="N347" s="37">
        <v>931.99</v>
      </c>
    </row>
    <row r="348" spans="1:14" x14ac:dyDescent="0.25">
      <c r="A348" s="1">
        <v>46042</v>
      </c>
      <c r="B348">
        <v>3</v>
      </c>
      <c r="C348" t="s">
        <v>541</v>
      </c>
      <c r="D348" t="s">
        <v>10</v>
      </c>
      <c r="E348" t="s">
        <v>87</v>
      </c>
      <c r="F348" t="s">
        <v>28</v>
      </c>
      <c r="G348" t="s">
        <v>13</v>
      </c>
      <c r="I348" s="37">
        <v>931.99</v>
      </c>
      <c r="L348" s="37">
        <v>931.99</v>
      </c>
      <c r="N348" s="37">
        <v>931.99</v>
      </c>
    </row>
    <row r="349" spans="1:14" x14ac:dyDescent="0.25">
      <c r="A349" s="1">
        <v>46042</v>
      </c>
      <c r="B349">
        <v>3</v>
      </c>
      <c r="C349" t="s">
        <v>541</v>
      </c>
      <c r="D349" t="s">
        <v>10</v>
      </c>
      <c r="E349" t="s">
        <v>90</v>
      </c>
      <c r="F349" t="s">
        <v>91</v>
      </c>
      <c r="G349" t="s">
        <v>22</v>
      </c>
      <c r="I349" s="37">
        <v>550</v>
      </c>
      <c r="J349" s="37">
        <v>30</v>
      </c>
      <c r="L349" s="37">
        <v>580</v>
      </c>
    </row>
    <row r="350" spans="1:14" x14ac:dyDescent="0.25">
      <c r="A350" s="1">
        <v>46042</v>
      </c>
      <c r="B350">
        <v>3</v>
      </c>
      <c r="C350" t="s">
        <v>541</v>
      </c>
      <c r="D350" t="s">
        <v>10</v>
      </c>
      <c r="E350" t="s">
        <v>93</v>
      </c>
      <c r="F350" t="s">
        <v>94</v>
      </c>
      <c r="G350" t="s">
        <v>13</v>
      </c>
      <c r="I350" s="37">
        <v>746.99</v>
      </c>
      <c r="J350" s="37">
        <v>30.01</v>
      </c>
      <c r="L350" s="37">
        <v>777</v>
      </c>
      <c r="N350" s="37">
        <v>777</v>
      </c>
    </row>
    <row r="351" spans="1:14" x14ac:dyDescent="0.25">
      <c r="A351" s="1">
        <v>46042</v>
      </c>
      <c r="B351">
        <v>3</v>
      </c>
      <c r="C351" t="s">
        <v>541</v>
      </c>
      <c r="D351" t="s">
        <v>136</v>
      </c>
      <c r="E351" t="s">
        <v>310</v>
      </c>
      <c r="F351" t="s">
        <v>28</v>
      </c>
      <c r="G351" t="s">
        <v>13</v>
      </c>
      <c r="I351" s="37">
        <v>931.99</v>
      </c>
      <c r="J351" s="37">
        <v>30</v>
      </c>
      <c r="L351" s="37">
        <v>961.99</v>
      </c>
    </row>
    <row r="352" spans="1:14" x14ac:dyDescent="0.25">
      <c r="A352" s="1">
        <v>46042</v>
      </c>
      <c r="B352">
        <v>3</v>
      </c>
      <c r="C352" t="s">
        <v>541</v>
      </c>
      <c r="D352" t="s">
        <v>10</v>
      </c>
      <c r="E352" t="s">
        <v>102</v>
      </c>
      <c r="F352" t="s">
        <v>103</v>
      </c>
      <c r="G352" t="s">
        <v>104</v>
      </c>
      <c r="I352" s="37">
        <v>801.99</v>
      </c>
      <c r="J352" s="37">
        <v>150</v>
      </c>
      <c r="L352" s="37">
        <v>951.99</v>
      </c>
      <c r="N352" s="37">
        <v>951.99</v>
      </c>
    </row>
    <row r="353" spans="1:14" x14ac:dyDescent="0.25">
      <c r="A353" s="1">
        <v>46042</v>
      </c>
      <c r="B353">
        <v>3</v>
      </c>
      <c r="C353" t="s">
        <v>541</v>
      </c>
      <c r="D353" t="s">
        <v>10</v>
      </c>
      <c r="E353" t="s">
        <v>288</v>
      </c>
      <c r="F353" t="s">
        <v>55</v>
      </c>
      <c r="G353" t="s">
        <v>104</v>
      </c>
      <c r="I353" s="37">
        <v>746.99</v>
      </c>
      <c r="J353" s="37">
        <v>150.01</v>
      </c>
      <c r="L353" s="37">
        <v>897</v>
      </c>
      <c r="N353" s="37">
        <v>897</v>
      </c>
    </row>
    <row r="354" spans="1:14" x14ac:dyDescent="0.25">
      <c r="A354" s="1">
        <v>46042</v>
      </c>
      <c r="B354">
        <v>3</v>
      </c>
      <c r="C354" t="s">
        <v>541</v>
      </c>
      <c r="D354" t="s">
        <v>10</v>
      </c>
      <c r="E354" t="s">
        <v>110</v>
      </c>
      <c r="F354" t="s">
        <v>55</v>
      </c>
      <c r="G354" t="s">
        <v>111</v>
      </c>
      <c r="I354" s="37">
        <v>746.99</v>
      </c>
      <c r="L354" s="37">
        <v>746.99</v>
      </c>
      <c r="N354" s="37">
        <v>746.99</v>
      </c>
    </row>
    <row r="355" spans="1:14" x14ac:dyDescent="0.25">
      <c r="A355" s="1">
        <v>46042</v>
      </c>
      <c r="B355">
        <v>3</v>
      </c>
      <c r="C355" t="s">
        <v>541</v>
      </c>
      <c r="D355" t="s">
        <v>10</v>
      </c>
      <c r="E355" t="s">
        <v>113</v>
      </c>
      <c r="F355" t="s">
        <v>12</v>
      </c>
      <c r="G355" t="s">
        <v>13</v>
      </c>
      <c r="I355" s="37">
        <v>746.99</v>
      </c>
      <c r="J355" s="37">
        <v>3.01</v>
      </c>
      <c r="L355" s="37">
        <v>750</v>
      </c>
      <c r="N355" s="37">
        <v>750</v>
      </c>
    </row>
    <row r="356" spans="1:14" x14ac:dyDescent="0.25">
      <c r="A356" s="1">
        <v>46042</v>
      </c>
      <c r="B356">
        <v>3</v>
      </c>
      <c r="C356" t="s">
        <v>541</v>
      </c>
      <c r="D356" t="s">
        <v>10</v>
      </c>
      <c r="E356" t="s">
        <v>118</v>
      </c>
      <c r="F356" t="s">
        <v>119</v>
      </c>
      <c r="G356" t="s">
        <v>13</v>
      </c>
      <c r="I356" s="37">
        <v>851.99</v>
      </c>
      <c r="J356" s="37">
        <v>30</v>
      </c>
      <c r="L356" s="37">
        <v>881.99</v>
      </c>
      <c r="N356" s="37">
        <v>881.99</v>
      </c>
    </row>
    <row r="357" spans="1:14" x14ac:dyDescent="0.25">
      <c r="A357" s="1">
        <v>46042</v>
      </c>
      <c r="B357">
        <v>3</v>
      </c>
      <c r="C357" t="s">
        <v>541</v>
      </c>
      <c r="D357" t="s">
        <v>10</v>
      </c>
      <c r="E357" t="s">
        <v>121</v>
      </c>
      <c r="F357" t="s">
        <v>52</v>
      </c>
      <c r="G357" t="s">
        <v>122</v>
      </c>
      <c r="I357" s="37">
        <v>1251.99</v>
      </c>
      <c r="L357" s="37">
        <v>1746.99</v>
      </c>
      <c r="M357" s="37">
        <v>339.5</v>
      </c>
      <c r="N357" s="37">
        <v>1251.99</v>
      </c>
    </row>
    <row r="358" spans="1:14" x14ac:dyDescent="0.25">
      <c r="A358" s="1">
        <v>46042</v>
      </c>
      <c r="B358">
        <v>3</v>
      </c>
      <c r="C358" t="s">
        <v>541</v>
      </c>
      <c r="D358" t="s">
        <v>10</v>
      </c>
      <c r="E358" t="s">
        <v>124</v>
      </c>
      <c r="F358" t="s">
        <v>52</v>
      </c>
      <c r="G358" t="s">
        <v>77</v>
      </c>
      <c r="I358" s="37">
        <v>1251.99</v>
      </c>
      <c r="J358" s="37">
        <v>30</v>
      </c>
      <c r="L358" s="37">
        <v>1281.99</v>
      </c>
      <c r="N358" s="37">
        <v>1281.99</v>
      </c>
    </row>
    <row r="359" spans="1:14" x14ac:dyDescent="0.25">
      <c r="A359" s="1">
        <v>46042</v>
      </c>
      <c r="B359">
        <v>3</v>
      </c>
      <c r="C359" t="s">
        <v>541</v>
      </c>
      <c r="D359" t="s">
        <v>10</v>
      </c>
      <c r="E359" t="s">
        <v>126</v>
      </c>
      <c r="F359" t="s">
        <v>55</v>
      </c>
      <c r="G359" t="s">
        <v>56</v>
      </c>
      <c r="I359" s="37">
        <v>746.99</v>
      </c>
      <c r="K359" s="37">
        <v>1.99</v>
      </c>
      <c r="L359" s="37">
        <v>745</v>
      </c>
      <c r="N359" s="37">
        <v>745</v>
      </c>
    </row>
    <row r="360" spans="1:14" x14ac:dyDescent="0.25">
      <c r="A360" s="1">
        <v>46042</v>
      </c>
      <c r="B360">
        <v>3</v>
      </c>
      <c r="C360" t="s">
        <v>541</v>
      </c>
      <c r="D360" t="s">
        <v>10</v>
      </c>
      <c r="E360" t="s">
        <v>128</v>
      </c>
      <c r="F360" t="s">
        <v>25</v>
      </c>
      <c r="G360" t="s">
        <v>13</v>
      </c>
      <c r="I360" s="37">
        <v>1351.99</v>
      </c>
      <c r="L360" s="37">
        <v>1351.99</v>
      </c>
      <c r="N360" s="37">
        <v>1351.99</v>
      </c>
    </row>
    <row r="361" spans="1:14" x14ac:dyDescent="0.25">
      <c r="A361" s="1">
        <v>46042</v>
      </c>
      <c r="B361">
        <v>3</v>
      </c>
      <c r="C361" t="s">
        <v>541</v>
      </c>
      <c r="D361" t="s">
        <v>10</v>
      </c>
      <c r="E361" t="s">
        <v>130</v>
      </c>
      <c r="F361" t="s">
        <v>28</v>
      </c>
      <c r="G361" t="s">
        <v>13</v>
      </c>
      <c r="I361" s="37">
        <v>931.99</v>
      </c>
      <c r="L361" s="37">
        <v>931.99</v>
      </c>
      <c r="N361" s="37">
        <v>931.99</v>
      </c>
    </row>
    <row r="362" spans="1:14" x14ac:dyDescent="0.25">
      <c r="A362" s="1">
        <v>46042</v>
      </c>
      <c r="B362">
        <v>3</v>
      </c>
      <c r="C362" t="s">
        <v>541</v>
      </c>
      <c r="D362" t="s">
        <v>10</v>
      </c>
      <c r="E362" t="s">
        <v>132</v>
      </c>
      <c r="F362" t="s">
        <v>76</v>
      </c>
      <c r="G362" t="s">
        <v>77</v>
      </c>
      <c r="I362" s="37">
        <v>1451.99</v>
      </c>
      <c r="J362" s="37">
        <v>60</v>
      </c>
      <c r="L362" s="37">
        <v>1511.99</v>
      </c>
      <c r="N362" s="37">
        <v>1511.99</v>
      </c>
    </row>
    <row r="363" spans="1:14" x14ac:dyDescent="0.25">
      <c r="A363" s="1">
        <v>46042</v>
      </c>
      <c r="B363">
        <v>3</v>
      </c>
      <c r="C363" t="s">
        <v>541</v>
      </c>
      <c r="D363" t="s">
        <v>10</v>
      </c>
      <c r="E363" t="s">
        <v>134</v>
      </c>
      <c r="F363" t="s">
        <v>69</v>
      </c>
      <c r="G363" t="s">
        <v>38</v>
      </c>
      <c r="I363" s="37">
        <v>746.99</v>
      </c>
      <c r="K363" s="37">
        <v>1.99</v>
      </c>
      <c r="L363" s="37">
        <v>745</v>
      </c>
      <c r="N363" s="37">
        <v>745</v>
      </c>
    </row>
    <row r="364" spans="1:14" x14ac:dyDescent="0.25">
      <c r="A364" s="1">
        <v>46042</v>
      </c>
      <c r="B364">
        <v>3</v>
      </c>
      <c r="C364" t="s">
        <v>541</v>
      </c>
      <c r="D364" t="s">
        <v>10</v>
      </c>
      <c r="E364" t="s">
        <v>137</v>
      </c>
      <c r="F364" t="s">
        <v>12</v>
      </c>
      <c r="G364" t="s">
        <v>13</v>
      </c>
      <c r="I364" s="37">
        <v>746.99</v>
      </c>
      <c r="K364" s="37">
        <v>1.99</v>
      </c>
      <c r="L364" s="37">
        <v>745</v>
      </c>
      <c r="N364" s="37">
        <v>745</v>
      </c>
    </row>
    <row r="365" spans="1:14" x14ac:dyDescent="0.25">
      <c r="A365" s="1">
        <v>46042</v>
      </c>
      <c r="B365">
        <v>3</v>
      </c>
      <c r="C365" t="s">
        <v>541</v>
      </c>
      <c r="D365" t="s">
        <v>10</v>
      </c>
      <c r="E365" t="s">
        <v>138</v>
      </c>
      <c r="F365" t="s">
        <v>12</v>
      </c>
      <c r="G365" t="s">
        <v>13</v>
      </c>
      <c r="I365" s="37">
        <v>746.99</v>
      </c>
      <c r="J365" s="37">
        <v>30</v>
      </c>
      <c r="L365" s="37">
        <v>776.99</v>
      </c>
      <c r="N365" s="37">
        <v>776.99</v>
      </c>
    </row>
    <row r="366" spans="1:14" x14ac:dyDescent="0.25">
      <c r="A366" s="1">
        <v>46042</v>
      </c>
      <c r="B366">
        <v>3</v>
      </c>
      <c r="C366" t="s">
        <v>541</v>
      </c>
      <c r="D366" t="s">
        <v>10</v>
      </c>
      <c r="E366" t="s">
        <v>308</v>
      </c>
      <c r="F366" t="s">
        <v>28</v>
      </c>
      <c r="G366" t="s">
        <v>13</v>
      </c>
      <c r="I366" s="37">
        <v>931.99</v>
      </c>
      <c r="K366" s="37">
        <v>1.99</v>
      </c>
      <c r="L366" s="37">
        <v>930</v>
      </c>
      <c r="N366" s="37">
        <v>930</v>
      </c>
    </row>
    <row r="367" spans="1:14" x14ac:dyDescent="0.25">
      <c r="A367" s="1">
        <v>46042</v>
      </c>
      <c r="B367">
        <v>3</v>
      </c>
      <c r="C367" t="s">
        <v>541</v>
      </c>
      <c r="D367" t="s">
        <v>10</v>
      </c>
      <c r="E367" t="s">
        <v>140</v>
      </c>
      <c r="F367" t="s">
        <v>28</v>
      </c>
      <c r="G367" t="s">
        <v>13</v>
      </c>
      <c r="I367" s="37">
        <v>931.99</v>
      </c>
      <c r="L367" s="37">
        <v>931.99</v>
      </c>
      <c r="N367" s="37">
        <v>931.99</v>
      </c>
    </row>
    <row r="368" spans="1:14" x14ac:dyDescent="0.25">
      <c r="A368" s="1">
        <v>46042</v>
      </c>
      <c r="B368">
        <v>3</v>
      </c>
      <c r="C368" t="s">
        <v>541</v>
      </c>
      <c r="D368" t="s">
        <v>10</v>
      </c>
      <c r="E368" t="s">
        <v>289</v>
      </c>
      <c r="F368" t="s">
        <v>12</v>
      </c>
      <c r="G368" t="s">
        <v>22</v>
      </c>
      <c r="I368" s="37">
        <v>746.99</v>
      </c>
      <c r="J368" s="37">
        <v>30</v>
      </c>
      <c r="L368" s="37">
        <v>776.99</v>
      </c>
      <c r="N368" s="37">
        <v>776.99</v>
      </c>
    </row>
    <row r="369" spans="1:14" x14ac:dyDescent="0.25">
      <c r="A369" s="1">
        <v>46042</v>
      </c>
      <c r="B369">
        <v>3</v>
      </c>
      <c r="C369" t="s">
        <v>541</v>
      </c>
      <c r="D369" t="s">
        <v>10</v>
      </c>
      <c r="E369" t="s">
        <v>142</v>
      </c>
      <c r="F369" t="s">
        <v>55</v>
      </c>
      <c r="G369" t="s">
        <v>95</v>
      </c>
      <c r="I369" s="37">
        <v>746.99</v>
      </c>
      <c r="L369" s="37">
        <v>1241.99</v>
      </c>
      <c r="M369" s="37">
        <v>199.49</v>
      </c>
      <c r="N369" s="37">
        <v>746.99</v>
      </c>
    </row>
    <row r="370" spans="1:14" x14ac:dyDescent="0.25">
      <c r="A370" s="1">
        <v>46042</v>
      </c>
      <c r="B370">
        <v>3</v>
      </c>
      <c r="C370" t="s">
        <v>541</v>
      </c>
      <c r="D370" t="s">
        <v>10</v>
      </c>
      <c r="E370" t="s">
        <v>144</v>
      </c>
      <c r="F370" t="s">
        <v>145</v>
      </c>
      <c r="G370" t="s">
        <v>66</v>
      </c>
      <c r="I370" s="37">
        <v>1351.99</v>
      </c>
      <c r="J370" s="37">
        <v>0.01</v>
      </c>
      <c r="L370" s="37">
        <v>1847</v>
      </c>
      <c r="N370" s="37">
        <v>1352</v>
      </c>
    </row>
    <row r="371" spans="1:14" x14ac:dyDescent="0.25">
      <c r="A371" s="1">
        <v>46042</v>
      </c>
      <c r="B371">
        <v>3</v>
      </c>
      <c r="C371" t="s">
        <v>541</v>
      </c>
      <c r="D371" t="s">
        <v>10</v>
      </c>
      <c r="E371" t="s">
        <v>147</v>
      </c>
      <c r="F371" t="s">
        <v>33</v>
      </c>
      <c r="G371" t="s">
        <v>13</v>
      </c>
      <c r="I371" s="37">
        <v>851.99</v>
      </c>
      <c r="L371" s="37">
        <v>851.99</v>
      </c>
      <c r="N371" s="37">
        <v>851.99</v>
      </c>
    </row>
    <row r="372" spans="1:14" x14ac:dyDescent="0.25">
      <c r="A372" s="1">
        <v>46042</v>
      </c>
      <c r="B372">
        <v>3</v>
      </c>
      <c r="C372" t="s">
        <v>541</v>
      </c>
      <c r="D372" t="s">
        <v>10</v>
      </c>
      <c r="E372" t="s">
        <v>149</v>
      </c>
      <c r="F372" t="s">
        <v>33</v>
      </c>
      <c r="G372" t="s">
        <v>13</v>
      </c>
      <c r="I372" s="37">
        <v>851.99</v>
      </c>
      <c r="J372" s="37">
        <v>30.01</v>
      </c>
      <c r="L372" s="37">
        <v>882</v>
      </c>
      <c r="N372" s="37">
        <v>882</v>
      </c>
    </row>
    <row r="373" spans="1:14" x14ac:dyDescent="0.25">
      <c r="A373" s="1">
        <v>46042</v>
      </c>
      <c r="B373">
        <v>3</v>
      </c>
      <c r="C373" t="s">
        <v>541</v>
      </c>
      <c r="D373" t="s">
        <v>10</v>
      </c>
      <c r="E373" t="s">
        <v>151</v>
      </c>
      <c r="F373" t="s">
        <v>33</v>
      </c>
      <c r="G373" t="s">
        <v>38</v>
      </c>
      <c r="I373" s="37">
        <v>851.99</v>
      </c>
      <c r="L373" s="37">
        <v>851.99</v>
      </c>
      <c r="N373" s="37">
        <v>851.99</v>
      </c>
    </row>
    <row r="374" spans="1:14" x14ac:dyDescent="0.25">
      <c r="A374" s="1">
        <v>46042</v>
      </c>
      <c r="B374">
        <v>3</v>
      </c>
      <c r="C374" t="s">
        <v>541</v>
      </c>
      <c r="D374" t="s">
        <v>10</v>
      </c>
      <c r="E374" t="s">
        <v>291</v>
      </c>
      <c r="F374" t="s">
        <v>41</v>
      </c>
      <c r="G374" t="s">
        <v>13</v>
      </c>
      <c r="I374" s="37">
        <v>746.99</v>
      </c>
      <c r="K374" s="37">
        <v>1.99</v>
      </c>
      <c r="L374" s="37">
        <v>745</v>
      </c>
      <c r="N374" s="37">
        <v>745</v>
      </c>
    </row>
    <row r="375" spans="1:14" x14ac:dyDescent="0.25">
      <c r="A375" s="1">
        <v>46042</v>
      </c>
      <c r="B375">
        <v>3</v>
      </c>
      <c r="C375" t="s">
        <v>541</v>
      </c>
      <c r="D375" t="s">
        <v>10</v>
      </c>
      <c r="E375" t="s">
        <v>155</v>
      </c>
      <c r="F375" t="s">
        <v>33</v>
      </c>
      <c r="G375" t="s">
        <v>38</v>
      </c>
      <c r="I375" s="37">
        <v>851.99</v>
      </c>
      <c r="J375" s="37">
        <v>180.01</v>
      </c>
      <c r="L375" s="37">
        <v>1032</v>
      </c>
      <c r="M375" s="37">
        <v>672.11</v>
      </c>
      <c r="N375" s="37">
        <v>1032</v>
      </c>
    </row>
    <row r="376" spans="1:14" x14ac:dyDescent="0.25">
      <c r="A376" s="1">
        <v>46042</v>
      </c>
      <c r="B376">
        <v>3</v>
      </c>
      <c r="C376" t="s">
        <v>541</v>
      </c>
      <c r="D376" t="s">
        <v>10</v>
      </c>
      <c r="E376" t="s">
        <v>157</v>
      </c>
      <c r="F376" t="s">
        <v>158</v>
      </c>
      <c r="G376" t="s">
        <v>111</v>
      </c>
      <c r="I376" s="37">
        <v>746.99</v>
      </c>
      <c r="J376" s="37">
        <v>3.01</v>
      </c>
      <c r="L376" s="37">
        <v>750</v>
      </c>
      <c r="N376" s="37">
        <v>750</v>
      </c>
    </row>
    <row r="377" spans="1:14" x14ac:dyDescent="0.25">
      <c r="A377" s="1">
        <v>46042</v>
      </c>
      <c r="B377">
        <v>3</v>
      </c>
      <c r="C377" t="s">
        <v>541</v>
      </c>
      <c r="D377" t="s">
        <v>10</v>
      </c>
      <c r="E377" t="s">
        <v>160</v>
      </c>
      <c r="F377" t="s">
        <v>158</v>
      </c>
      <c r="G377" t="s">
        <v>22</v>
      </c>
      <c r="I377" s="37">
        <v>746.99</v>
      </c>
      <c r="J377" s="37">
        <v>53.01</v>
      </c>
      <c r="L377" s="37">
        <v>800</v>
      </c>
      <c r="N377" s="37">
        <v>800</v>
      </c>
    </row>
    <row r="378" spans="1:14" x14ac:dyDescent="0.25">
      <c r="A378" s="1">
        <v>46042</v>
      </c>
      <c r="B378">
        <v>3</v>
      </c>
      <c r="C378" t="s">
        <v>541</v>
      </c>
      <c r="D378" t="s">
        <v>10</v>
      </c>
      <c r="E378" t="s">
        <v>162</v>
      </c>
      <c r="F378" t="s">
        <v>158</v>
      </c>
      <c r="G378" t="s">
        <v>104</v>
      </c>
      <c r="I378" s="37">
        <v>746.99</v>
      </c>
      <c r="L378" s="37">
        <v>746.99</v>
      </c>
      <c r="N378" s="37">
        <v>746.99</v>
      </c>
    </row>
    <row r="379" spans="1:14" x14ac:dyDescent="0.25">
      <c r="A379" s="1">
        <v>46042</v>
      </c>
      <c r="B379">
        <v>3</v>
      </c>
      <c r="C379" t="s">
        <v>541</v>
      </c>
      <c r="D379" t="s">
        <v>10</v>
      </c>
      <c r="E379" t="s">
        <v>164</v>
      </c>
      <c r="F379" t="s">
        <v>12</v>
      </c>
      <c r="G379" t="s">
        <v>13</v>
      </c>
      <c r="I379" s="37">
        <v>746.99</v>
      </c>
      <c r="J379" s="37">
        <v>60</v>
      </c>
      <c r="L379" s="37">
        <v>806.99</v>
      </c>
      <c r="N379" s="37">
        <v>806.99</v>
      </c>
    </row>
    <row r="380" spans="1:14" x14ac:dyDescent="0.25">
      <c r="A380" s="1">
        <v>46042</v>
      </c>
      <c r="B380">
        <v>3</v>
      </c>
      <c r="C380" t="s">
        <v>541</v>
      </c>
      <c r="D380" t="s">
        <v>10</v>
      </c>
      <c r="E380" t="s">
        <v>166</v>
      </c>
      <c r="F380" t="s">
        <v>12</v>
      </c>
      <c r="G380" t="s">
        <v>13</v>
      </c>
      <c r="I380" s="37">
        <v>746.99</v>
      </c>
      <c r="K380" s="37">
        <v>1.99</v>
      </c>
      <c r="L380" s="37">
        <v>745</v>
      </c>
      <c r="N380" s="37">
        <v>745</v>
      </c>
    </row>
    <row r="381" spans="1:14" x14ac:dyDescent="0.25">
      <c r="A381" s="1">
        <v>46042</v>
      </c>
      <c r="B381">
        <v>3</v>
      </c>
      <c r="C381" t="s">
        <v>541</v>
      </c>
      <c r="D381" t="s">
        <v>10</v>
      </c>
      <c r="E381" t="s">
        <v>257</v>
      </c>
      <c r="F381" t="s">
        <v>158</v>
      </c>
      <c r="G381" t="s">
        <v>111</v>
      </c>
      <c r="I381" s="37">
        <v>746.99</v>
      </c>
      <c r="K381" s="37">
        <v>213.42</v>
      </c>
      <c r="L381" s="37">
        <v>578.57000000000005</v>
      </c>
      <c r="N381" s="37">
        <v>533.57000000000005</v>
      </c>
    </row>
    <row r="382" spans="1:14" x14ac:dyDescent="0.25">
      <c r="A382" s="1">
        <v>46042</v>
      </c>
      <c r="B382">
        <v>3</v>
      </c>
      <c r="C382" t="s">
        <v>541</v>
      </c>
      <c r="D382" t="s">
        <v>10</v>
      </c>
      <c r="E382" t="s">
        <v>168</v>
      </c>
      <c r="F382" t="s">
        <v>69</v>
      </c>
      <c r="G382" t="s">
        <v>169</v>
      </c>
      <c r="I382" s="37">
        <v>746.99</v>
      </c>
      <c r="L382" s="37">
        <v>746.99</v>
      </c>
      <c r="N382" s="37">
        <v>746.99</v>
      </c>
    </row>
    <row r="383" spans="1:14" x14ac:dyDescent="0.25">
      <c r="A383" s="1">
        <v>46042</v>
      </c>
      <c r="B383">
        <v>3</v>
      </c>
      <c r="C383" t="s">
        <v>541</v>
      </c>
      <c r="D383" t="s">
        <v>10</v>
      </c>
      <c r="E383" t="s">
        <v>171</v>
      </c>
      <c r="F383" t="s">
        <v>52</v>
      </c>
      <c r="G383" t="s">
        <v>13</v>
      </c>
      <c r="I383" s="37">
        <v>1251.99</v>
      </c>
      <c r="L383" s="37">
        <v>1251.99</v>
      </c>
      <c r="N383" s="37">
        <v>1251.99</v>
      </c>
    </row>
    <row r="384" spans="1:14" x14ac:dyDescent="0.25">
      <c r="A384" s="1">
        <v>46042</v>
      </c>
      <c r="B384">
        <v>3</v>
      </c>
      <c r="C384" t="s">
        <v>541</v>
      </c>
      <c r="D384" t="s">
        <v>10</v>
      </c>
      <c r="E384" t="s">
        <v>175</v>
      </c>
      <c r="F384" t="s">
        <v>52</v>
      </c>
      <c r="G384" t="s">
        <v>77</v>
      </c>
      <c r="I384" s="37">
        <v>1251.99</v>
      </c>
      <c r="L384" s="37">
        <v>1251.99</v>
      </c>
      <c r="N384" s="37">
        <v>1251.99</v>
      </c>
    </row>
    <row r="385" spans="1:14" x14ac:dyDescent="0.25">
      <c r="A385" s="1">
        <v>46042</v>
      </c>
      <c r="B385">
        <v>3</v>
      </c>
      <c r="C385" t="s">
        <v>541</v>
      </c>
      <c r="D385" t="s">
        <v>10</v>
      </c>
      <c r="E385" t="s">
        <v>173</v>
      </c>
      <c r="F385" t="s">
        <v>52</v>
      </c>
      <c r="G385" t="s">
        <v>77</v>
      </c>
      <c r="I385" s="37">
        <v>1251.99</v>
      </c>
      <c r="L385" s="37">
        <v>1251.99</v>
      </c>
    </row>
    <row r="386" spans="1:14" x14ac:dyDescent="0.25">
      <c r="A386" s="1">
        <v>46042</v>
      </c>
      <c r="B386">
        <v>3</v>
      </c>
      <c r="C386" t="s">
        <v>541</v>
      </c>
      <c r="D386" t="s">
        <v>10</v>
      </c>
      <c r="E386" t="s">
        <v>177</v>
      </c>
      <c r="F386" t="s">
        <v>178</v>
      </c>
      <c r="G386" t="s">
        <v>13</v>
      </c>
      <c r="I386" s="37">
        <v>851.99</v>
      </c>
      <c r="J386" s="37">
        <v>0.01</v>
      </c>
      <c r="L386" s="37">
        <v>852</v>
      </c>
      <c r="N386" s="37">
        <v>852</v>
      </c>
    </row>
    <row r="387" spans="1:14" x14ac:dyDescent="0.25">
      <c r="A387" s="1">
        <v>46042</v>
      </c>
      <c r="B387">
        <v>3</v>
      </c>
      <c r="C387" t="s">
        <v>541</v>
      </c>
      <c r="D387" t="s">
        <v>10</v>
      </c>
      <c r="E387" t="s">
        <v>180</v>
      </c>
      <c r="F387" t="s">
        <v>52</v>
      </c>
      <c r="G387" t="s">
        <v>38</v>
      </c>
      <c r="I387" s="37">
        <v>1251.99</v>
      </c>
      <c r="L387" s="37">
        <v>1251.99</v>
      </c>
      <c r="N387" s="37">
        <v>1251.99</v>
      </c>
    </row>
    <row r="388" spans="1:14" x14ac:dyDescent="0.25">
      <c r="A388" s="1">
        <v>46042</v>
      </c>
      <c r="B388">
        <v>3</v>
      </c>
      <c r="C388" t="s">
        <v>541</v>
      </c>
      <c r="D388" t="s">
        <v>10</v>
      </c>
      <c r="E388" t="s">
        <v>182</v>
      </c>
      <c r="F388" t="s">
        <v>25</v>
      </c>
      <c r="G388" t="s">
        <v>183</v>
      </c>
      <c r="I388" s="37">
        <v>1251.99</v>
      </c>
      <c r="K388" s="37">
        <v>1.99</v>
      </c>
      <c r="L388" s="37">
        <v>1250</v>
      </c>
      <c r="N388" s="37">
        <v>1250</v>
      </c>
    </row>
    <row r="389" spans="1:14" x14ac:dyDescent="0.25">
      <c r="A389" s="1">
        <v>46042</v>
      </c>
      <c r="B389">
        <v>3</v>
      </c>
      <c r="C389" t="s">
        <v>541</v>
      </c>
      <c r="D389" t="s">
        <v>10</v>
      </c>
      <c r="E389" t="s">
        <v>185</v>
      </c>
      <c r="F389" t="s">
        <v>12</v>
      </c>
      <c r="G389" t="s">
        <v>13</v>
      </c>
      <c r="I389" s="37">
        <v>746.99</v>
      </c>
      <c r="K389" s="37">
        <v>0.99</v>
      </c>
      <c r="L389" s="37">
        <v>746</v>
      </c>
      <c r="N389" s="37">
        <v>746</v>
      </c>
    </row>
    <row r="390" spans="1:14" x14ac:dyDescent="0.25">
      <c r="A390" s="1">
        <v>46042</v>
      </c>
      <c r="B390">
        <v>3</v>
      </c>
      <c r="C390" t="s">
        <v>541</v>
      </c>
      <c r="D390" t="s">
        <v>10</v>
      </c>
      <c r="E390" t="s">
        <v>187</v>
      </c>
      <c r="F390" t="s">
        <v>12</v>
      </c>
      <c r="G390" t="s">
        <v>13</v>
      </c>
      <c r="I390" s="37">
        <v>746.99</v>
      </c>
      <c r="L390" s="37">
        <v>791.99</v>
      </c>
      <c r="N390" s="37">
        <v>746.99</v>
      </c>
    </row>
    <row r="391" spans="1:14" x14ac:dyDescent="0.25">
      <c r="A391" s="1">
        <v>46042</v>
      </c>
      <c r="B391">
        <v>3</v>
      </c>
      <c r="C391" t="s">
        <v>541</v>
      </c>
      <c r="D391" t="s">
        <v>10</v>
      </c>
      <c r="E391" t="s">
        <v>189</v>
      </c>
      <c r="F391" t="s">
        <v>12</v>
      </c>
      <c r="G391" t="s">
        <v>13</v>
      </c>
      <c r="I391" s="37">
        <v>746.99</v>
      </c>
      <c r="K391" s="37">
        <v>319.29000000000002</v>
      </c>
      <c r="L391" s="37">
        <v>427.7</v>
      </c>
      <c r="N391" s="37">
        <v>427.7</v>
      </c>
    </row>
    <row r="392" spans="1:14" x14ac:dyDescent="0.25">
      <c r="A392" s="1">
        <v>46042</v>
      </c>
      <c r="B392">
        <v>3</v>
      </c>
      <c r="C392" t="s">
        <v>541</v>
      </c>
      <c r="D392" t="s">
        <v>10</v>
      </c>
      <c r="E392" t="s">
        <v>191</v>
      </c>
      <c r="F392" t="s">
        <v>55</v>
      </c>
      <c r="G392" t="s">
        <v>13</v>
      </c>
      <c r="I392" s="37">
        <v>746.99</v>
      </c>
      <c r="L392" s="37">
        <v>791.99</v>
      </c>
      <c r="N392" s="37">
        <v>746.99</v>
      </c>
    </row>
    <row r="393" spans="1:14" x14ac:dyDescent="0.25">
      <c r="A393" s="1">
        <v>46042</v>
      </c>
      <c r="B393">
        <v>3</v>
      </c>
      <c r="C393" t="s">
        <v>541</v>
      </c>
      <c r="D393" t="s">
        <v>10</v>
      </c>
      <c r="E393" t="s">
        <v>193</v>
      </c>
      <c r="F393" t="s">
        <v>12</v>
      </c>
      <c r="G393" t="s">
        <v>13</v>
      </c>
      <c r="I393" s="37">
        <v>746.99</v>
      </c>
      <c r="K393" s="37">
        <v>107.99</v>
      </c>
      <c r="L393" s="37">
        <v>639</v>
      </c>
      <c r="N393" s="37">
        <v>639</v>
      </c>
    </row>
    <row r="394" spans="1:14" x14ac:dyDescent="0.25">
      <c r="A394" s="1">
        <v>46042</v>
      </c>
      <c r="B394">
        <v>3</v>
      </c>
      <c r="C394" t="s">
        <v>541</v>
      </c>
      <c r="D394" t="s">
        <v>10</v>
      </c>
      <c r="E394" t="s">
        <v>195</v>
      </c>
      <c r="F394" t="s">
        <v>196</v>
      </c>
      <c r="G394" t="s">
        <v>22</v>
      </c>
      <c r="I394" s="37">
        <v>680</v>
      </c>
      <c r="J394" s="37">
        <v>30</v>
      </c>
      <c r="L394" s="37">
        <v>710</v>
      </c>
      <c r="N394" s="37">
        <v>710</v>
      </c>
    </row>
    <row r="395" spans="1:14" x14ac:dyDescent="0.25">
      <c r="A395" s="1">
        <v>46042</v>
      </c>
      <c r="B395">
        <v>3</v>
      </c>
      <c r="C395" t="s">
        <v>541</v>
      </c>
      <c r="D395" t="s">
        <v>10</v>
      </c>
      <c r="E395" t="s">
        <v>293</v>
      </c>
      <c r="F395" t="s">
        <v>294</v>
      </c>
      <c r="G395" t="s">
        <v>13</v>
      </c>
      <c r="I395" s="37">
        <v>746.99</v>
      </c>
      <c r="L395" s="37">
        <v>746.99</v>
      </c>
      <c r="N395" s="37">
        <v>746.99</v>
      </c>
    </row>
    <row r="396" spans="1:14" x14ac:dyDescent="0.25">
      <c r="A396" s="1">
        <v>46042</v>
      </c>
      <c r="B396">
        <v>3</v>
      </c>
      <c r="C396" t="s">
        <v>541</v>
      </c>
      <c r="D396" t="s">
        <v>10</v>
      </c>
      <c r="E396" t="s">
        <v>198</v>
      </c>
      <c r="F396" t="s">
        <v>199</v>
      </c>
      <c r="G396" t="s">
        <v>38</v>
      </c>
      <c r="I396" s="37">
        <v>746.99</v>
      </c>
      <c r="J396" s="37">
        <v>29.44</v>
      </c>
      <c r="K396" s="37">
        <v>106.43</v>
      </c>
      <c r="L396" s="37">
        <v>670</v>
      </c>
      <c r="M396" s="37">
        <v>138.75</v>
      </c>
      <c r="N396" s="37">
        <v>670</v>
      </c>
    </row>
    <row r="397" spans="1:14" x14ac:dyDescent="0.25">
      <c r="A397" s="1">
        <v>46042</v>
      </c>
      <c r="B397">
        <v>3</v>
      </c>
      <c r="C397" t="s">
        <v>541</v>
      </c>
      <c r="D397" t="s">
        <v>10</v>
      </c>
      <c r="E397" t="s">
        <v>201</v>
      </c>
      <c r="F397" t="s">
        <v>202</v>
      </c>
      <c r="G397" t="s">
        <v>56</v>
      </c>
      <c r="I397" s="37">
        <v>831.99</v>
      </c>
      <c r="L397" s="37">
        <v>831.99</v>
      </c>
      <c r="N397" s="37">
        <v>831.99</v>
      </c>
    </row>
    <row r="398" spans="1:14" x14ac:dyDescent="0.25">
      <c r="A398" s="1">
        <v>46042</v>
      </c>
      <c r="B398">
        <v>3</v>
      </c>
      <c r="C398" t="s">
        <v>541</v>
      </c>
      <c r="D398" t="s">
        <v>10</v>
      </c>
      <c r="E398" t="s">
        <v>204</v>
      </c>
      <c r="F398" t="s">
        <v>12</v>
      </c>
      <c r="G398" t="s">
        <v>13</v>
      </c>
      <c r="I398" s="37">
        <v>746.99</v>
      </c>
      <c r="L398" s="37">
        <v>746.99</v>
      </c>
      <c r="N398" s="37">
        <v>746.99</v>
      </c>
    </row>
    <row r="399" spans="1:14" x14ac:dyDescent="0.25">
      <c r="A399" s="1">
        <v>46042</v>
      </c>
      <c r="B399">
        <v>3</v>
      </c>
      <c r="C399" t="s">
        <v>541</v>
      </c>
      <c r="D399" t="s">
        <v>10</v>
      </c>
      <c r="E399" t="s">
        <v>205</v>
      </c>
      <c r="F399" t="s">
        <v>33</v>
      </c>
      <c r="G399" t="s">
        <v>13</v>
      </c>
      <c r="I399" s="37">
        <v>851.99</v>
      </c>
      <c r="L399" s="37">
        <v>851.99</v>
      </c>
      <c r="N399" s="37">
        <v>851.99</v>
      </c>
    </row>
    <row r="400" spans="1:14" x14ac:dyDescent="0.25">
      <c r="A400" s="1">
        <v>46042</v>
      </c>
      <c r="B400">
        <v>3</v>
      </c>
      <c r="C400" t="s">
        <v>541</v>
      </c>
      <c r="D400" t="s">
        <v>10</v>
      </c>
      <c r="E400" t="s">
        <v>209</v>
      </c>
      <c r="F400" t="s">
        <v>33</v>
      </c>
      <c r="G400" t="s">
        <v>13</v>
      </c>
      <c r="I400" s="37">
        <v>851.99</v>
      </c>
      <c r="J400" s="37">
        <v>120</v>
      </c>
      <c r="K400" s="37">
        <v>0.99</v>
      </c>
      <c r="L400" s="37">
        <v>971</v>
      </c>
      <c r="N400" s="37">
        <v>971</v>
      </c>
    </row>
    <row r="401" spans="1:14" x14ac:dyDescent="0.25">
      <c r="A401" s="1">
        <v>46042</v>
      </c>
      <c r="B401">
        <v>3</v>
      </c>
      <c r="C401" t="s">
        <v>541</v>
      </c>
      <c r="D401" t="s">
        <v>10</v>
      </c>
      <c r="E401" t="s">
        <v>207</v>
      </c>
      <c r="F401" t="s">
        <v>33</v>
      </c>
      <c r="G401" t="s">
        <v>13</v>
      </c>
      <c r="I401" s="37">
        <v>851.99</v>
      </c>
      <c r="K401" s="37">
        <v>243.42</v>
      </c>
      <c r="L401" s="37">
        <v>608.57000000000005</v>
      </c>
      <c r="N401" s="37">
        <v>608.57000000000005</v>
      </c>
    </row>
    <row r="402" spans="1:14" x14ac:dyDescent="0.25">
      <c r="A402" s="1">
        <v>46042</v>
      </c>
      <c r="B402">
        <v>3</v>
      </c>
      <c r="C402" t="s">
        <v>541</v>
      </c>
      <c r="D402" t="s">
        <v>10</v>
      </c>
      <c r="E402" t="s">
        <v>210</v>
      </c>
      <c r="F402" t="s">
        <v>211</v>
      </c>
      <c r="G402" t="s">
        <v>13</v>
      </c>
      <c r="I402" s="37">
        <v>851.99</v>
      </c>
      <c r="J402" s="37">
        <v>30.01</v>
      </c>
      <c r="L402" s="37">
        <v>882</v>
      </c>
      <c r="N402" s="37">
        <v>882</v>
      </c>
    </row>
    <row r="403" spans="1:14" x14ac:dyDescent="0.25">
      <c r="A403" s="1">
        <v>46042</v>
      </c>
      <c r="B403">
        <v>3</v>
      </c>
      <c r="C403" t="s">
        <v>541</v>
      </c>
      <c r="D403" t="s">
        <v>10</v>
      </c>
      <c r="E403" t="s">
        <v>213</v>
      </c>
      <c r="F403" t="s">
        <v>214</v>
      </c>
      <c r="G403" t="s">
        <v>13</v>
      </c>
      <c r="I403" s="37">
        <v>851.99</v>
      </c>
      <c r="L403" s="37">
        <v>851.99</v>
      </c>
      <c r="N403" s="37">
        <v>851.99</v>
      </c>
    </row>
    <row r="404" spans="1:14" x14ac:dyDescent="0.25">
      <c r="A404" s="1">
        <v>46042</v>
      </c>
      <c r="B404">
        <v>3</v>
      </c>
      <c r="C404" t="s">
        <v>541</v>
      </c>
      <c r="D404" t="s">
        <v>10</v>
      </c>
      <c r="E404" t="s">
        <v>216</v>
      </c>
      <c r="F404" t="s">
        <v>217</v>
      </c>
      <c r="G404" t="s">
        <v>13</v>
      </c>
      <c r="I404" s="37">
        <v>746.99</v>
      </c>
      <c r="J404" s="37">
        <v>30</v>
      </c>
      <c r="L404" s="37">
        <v>776.99</v>
      </c>
      <c r="N404" s="37">
        <v>776.99</v>
      </c>
    </row>
    <row r="405" spans="1:14" x14ac:dyDescent="0.25">
      <c r="A405" s="1">
        <v>46042</v>
      </c>
      <c r="B405">
        <v>3</v>
      </c>
      <c r="C405" t="s">
        <v>541</v>
      </c>
      <c r="D405" t="s">
        <v>10</v>
      </c>
      <c r="E405" t="s">
        <v>219</v>
      </c>
      <c r="F405" t="s">
        <v>12</v>
      </c>
      <c r="G405" t="s">
        <v>13</v>
      </c>
      <c r="I405" s="37">
        <v>746.99</v>
      </c>
      <c r="L405" s="37">
        <v>746.99</v>
      </c>
      <c r="N405" s="37">
        <v>746.99</v>
      </c>
    </row>
    <row r="406" spans="1:14" x14ac:dyDescent="0.25">
      <c r="A406" s="1">
        <v>46042</v>
      </c>
      <c r="B406">
        <v>3</v>
      </c>
      <c r="C406" t="s">
        <v>542</v>
      </c>
      <c r="D406" t="s">
        <v>99</v>
      </c>
      <c r="E406" t="s">
        <v>300</v>
      </c>
      <c r="F406" t="s">
        <v>301</v>
      </c>
      <c r="G406" t="s">
        <v>104</v>
      </c>
      <c r="I406" s="37">
        <v>746.99</v>
      </c>
      <c r="L406" s="37">
        <v>746.99</v>
      </c>
    </row>
    <row r="407" spans="1:14" x14ac:dyDescent="0.25">
      <c r="A407" s="1">
        <v>46042</v>
      </c>
      <c r="B407">
        <v>3</v>
      </c>
      <c r="C407" t="s">
        <v>541</v>
      </c>
      <c r="D407" t="s">
        <v>10</v>
      </c>
      <c r="E407" t="s">
        <v>221</v>
      </c>
      <c r="F407" t="s">
        <v>37</v>
      </c>
      <c r="G407" t="s">
        <v>70</v>
      </c>
      <c r="I407" s="37">
        <v>746.99</v>
      </c>
      <c r="K407" s="37">
        <v>0.99</v>
      </c>
      <c r="L407" s="37">
        <v>746</v>
      </c>
      <c r="N407" s="37">
        <v>746</v>
      </c>
    </row>
    <row r="408" spans="1:14" x14ac:dyDescent="0.25">
      <c r="A408" s="1">
        <v>46042</v>
      </c>
      <c r="B408">
        <v>3</v>
      </c>
      <c r="C408" t="s">
        <v>541</v>
      </c>
      <c r="D408" t="s">
        <v>10</v>
      </c>
      <c r="E408" t="s">
        <v>223</v>
      </c>
      <c r="F408" t="s">
        <v>41</v>
      </c>
      <c r="G408" t="s">
        <v>22</v>
      </c>
      <c r="I408" s="37">
        <v>746.99</v>
      </c>
      <c r="K408" s="37">
        <v>1.99</v>
      </c>
      <c r="L408" s="37">
        <v>745</v>
      </c>
      <c r="N408" s="37">
        <v>745</v>
      </c>
    </row>
    <row r="409" spans="1:14" x14ac:dyDescent="0.25">
      <c r="A409" s="1">
        <v>46042</v>
      </c>
      <c r="B409">
        <v>3</v>
      </c>
      <c r="C409" t="s">
        <v>541</v>
      </c>
      <c r="D409" t="s">
        <v>10</v>
      </c>
      <c r="E409" t="s">
        <v>225</v>
      </c>
      <c r="F409" t="s">
        <v>217</v>
      </c>
      <c r="G409" t="s">
        <v>22</v>
      </c>
      <c r="I409" s="37">
        <v>746.99</v>
      </c>
      <c r="J409" s="37">
        <v>120</v>
      </c>
      <c r="L409" s="37">
        <v>866.99</v>
      </c>
      <c r="N409" s="37">
        <v>866.99</v>
      </c>
    </row>
    <row r="410" spans="1:14" x14ac:dyDescent="0.25">
      <c r="A410" s="1">
        <v>46042</v>
      </c>
      <c r="B410">
        <v>3</v>
      </c>
      <c r="C410" t="s">
        <v>541</v>
      </c>
      <c r="D410" t="s">
        <v>10</v>
      </c>
      <c r="E410" t="s">
        <v>227</v>
      </c>
      <c r="F410" t="s">
        <v>12</v>
      </c>
      <c r="G410" t="s">
        <v>104</v>
      </c>
      <c r="I410" s="37">
        <v>746</v>
      </c>
      <c r="L410" s="37">
        <v>746</v>
      </c>
      <c r="N410" s="37">
        <v>746</v>
      </c>
    </row>
    <row r="411" spans="1:14" x14ac:dyDescent="0.25">
      <c r="A411" s="1">
        <v>46042</v>
      </c>
      <c r="B411">
        <v>3</v>
      </c>
      <c r="C411" t="s">
        <v>541</v>
      </c>
      <c r="D411" t="s">
        <v>136</v>
      </c>
      <c r="E411" t="s">
        <v>295</v>
      </c>
      <c r="F411" t="s">
        <v>33</v>
      </c>
      <c r="G411" t="s">
        <v>13</v>
      </c>
      <c r="I411" s="37">
        <v>851.99</v>
      </c>
      <c r="J411" s="37">
        <v>60</v>
      </c>
      <c r="L411" s="37">
        <v>911.99</v>
      </c>
      <c r="N411" s="37">
        <v>200</v>
      </c>
    </row>
    <row r="412" spans="1:14" x14ac:dyDescent="0.25">
      <c r="A412" s="1">
        <v>46042</v>
      </c>
      <c r="B412">
        <v>3</v>
      </c>
      <c r="C412" t="s">
        <v>541</v>
      </c>
      <c r="D412" t="s">
        <v>10</v>
      </c>
      <c r="E412" t="s">
        <v>229</v>
      </c>
      <c r="F412" t="s">
        <v>230</v>
      </c>
      <c r="G412" t="s">
        <v>22</v>
      </c>
      <c r="I412" s="37">
        <v>746.99</v>
      </c>
      <c r="L412" s="37">
        <v>746.99</v>
      </c>
      <c r="N412" s="37">
        <v>746.99</v>
      </c>
    </row>
    <row r="413" spans="1:14" x14ac:dyDescent="0.25">
      <c r="A413" s="1">
        <v>46042</v>
      </c>
      <c r="B413">
        <v>3</v>
      </c>
      <c r="C413" t="s">
        <v>541</v>
      </c>
      <c r="D413" t="s">
        <v>10</v>
      </c>
      <c r="E413" t="s">
        <v>232</v>
      </c>
      <c r="F413" t="s">
        <v>158</v>
      </c>
      <c r="G413" t="s">
        <v>22</v>
      </c>
      <c r="I413" s="37">
        <v>746.99</v>
      </c>
      <c r="K413" s="37">
        <v>0.99</v>
      </c>
      <c r="L413" s="37">
        <v>746</v>
      </c>
      <c r="N413" s="37">
        <v>746</v>
      </c>
    </row>
    <row r="414" spans="1:14" x14ac:dyDescent="0.25">
      <c r="A414" s="1">
        <v>46042</v>
      </c>
      <c r="B414">
        <v>3</v>
      </c>
      <c r="C414" t="s">
        <v>541</v>
      </c>
      <c r="D414" t="s">
        <v>10</v>
      </c>
      <c r="E414" t="s">
        <v>296</v>
      </c>
      <c r="F414" t="s">
        <v>37</v>
      </c>
      <c r="G414" t="s">
        <v>38</v>
      </c>
      <c r="I414" s="37">
        <v>745</v>
      </c>
      <c r="J414" s="37">
        <v>50</v>
      </c>
      <c r="L414" s="37">
        <v>795</v>
      </c>
      <c r="N414" s="37">
        <v>795</v>
      </c>
    </row>
    <row r="415" spans="1:14" x14ac:dyDescent="0.25">
      <c r="A415" s="1">
        <v>46042</v>
      </c>
      <c r="B415">
        <v>3</v>
      </c>
      <c r="C415" t="s">
        <v>541</v>
      </c>
      <c r="D415" t="s">
        <v>10</v>
      </c>
      <c r="E415" t="s">
        <v>235</v>
      </c>
      <c r="F415" t="s">
        <v>158</v>
      </c>
      <c r="G415" t="s">
        <v>104</v>
      </c>
      <c r="I415" s="37">
        <v>746.99</v>
      </c>
      <c r="K415" s="37">
        <v>106.43</v>
      </c>
      <c r="L415" s="37">
        <v>640.55999999999995</v>
      </c>
      <c r="N415" s="37">
        <v>640.55999999999995</v>
      </c>
    </row>
    <row r="416" spans="1:14" x14ac:dyDescent="0.25">
      <c r="A416" s="1">
        <v>46042</v>
      </c>
      <c r="B416">
        <v>3</v>
      </c>
      <c r="C416" t="s">
        <v>541</v>
      </c>
      <c r="D416" t="s">
        <v>10</v>
      </c>
      <c r="E416" t="s">
        <v>236</v>
      </c>
      <c r="F416" t="s">
        <v>158</v>
      </c>
      <c r="G416" t="s">
        <v>104</v>
      </c>
      <c r="I416" s="37">
        <v>746.99</v>
      </c>
      <c r="L416" s="37">
        <v>746.99</v>
      </c>
      <c r="N416" s="37">
        <v>746.99</v>
      </c>
    </row>
    <row r="417" spans="1:14" x14ac:dyDescent="0.25">
      <c r="A417" s="1">
        <v>46042</v>
      </c>
      <c r="B417">
        <v>3</v>
      </c>
      <c r="C417" t="s">
        <v>541</v>
      </c>
      <c r="D417" t="s">
        <v>10</v>
      </c>
      <c r="E417" t="s">
        <v>238</v>
      </c>
      <c r="F417" t="s">
        <v>158</v>
      </c>
      <c r="G417" t="s">
        <v>66</v>
      </c>
      <c r="I417" s="37">
        <v>746.99</v>
      </c>
      <c r="J417" s="37">
        <v>3.01</v>
      </c>
      <c r="L417" s="37">
        <v>750</v>
      </c>
      <c r="N417" s="37">
        <v>750</v>
      </c>
    </row>
    <row r="418" spans="1:14" x14ac:dyDescent="0.25">
      <c r="A418" s="1">
        <v>46042</v>
      </c>
      <c r="B418">
        <v>3</v>
      </c>
      <c r="C418" t="s">
        <v>541</v>
      </c>
      <c r="D418" t="s">
        <v>10</v>
      </c>
      <c r="E418" t="s">
        <v>240</v>
      </c>
      <c r="F418" t="s">
        <v>158</v>
      </c>
      <c r="G418" t="s">
        <v>111</v>
      </c>
      <c r="I418" s="37">
        <v>746.99</v>
      </c>
      <c r="L418" s="37">
        <v>746.99</v>
      </c>
      <c r="N418" s="37">
        <v>746.99</v>
      </c>
    </row>
    <row r="419" spans="1:14" x14ac:dyDescent="0.25">
      <c r="A419" s="1">
        <v>46042</v>
      </c>
      <c r="B419">
        <v>3</v>
      </c>
      <c r="C419" t="s">
        <v>541</v>
      </c>
      <c r="D419" t="s">
        <v>10</v>
      </c>
      <c r="E419" t="s">
        <v>242</v>
      </c>
      <c r="F419" t="s">
        <v>217</v>
      </c>
      <c r="G419" t="s">
        <v>13</v>
      </c>
      <c r="I419" s="37">
        <v>745</v>
      </c>
      <c r="J419" s="37">
        <v>133.41999999999999</v>
      </c>
      <c r="K419" s="37">
        <v>213.42</v>
      </c>
      <c r="L419" s="37">
        <v>665</v>
      </c>
      <c r="N419" s="37">
        <v>665</v>
      </c>
    </row>
    <row r="420" spans="1:14" x14ac:dyDescent="0.25">
      <c r="A420" s="1">
        <v>46042</v>
      </c>
      <c r="B420">
        <v>3</v>
      </c>
      <c r="C420" t="s">
        <v>541</v>
      </c>
      <c r="D420" t="s">
        <v>10</v>
      </c>
      <c r="E420" t="s">
        <v>244</v>
      </c>
      <c r="F420" t="s">
        <v>245</v>
      </c>
      <c r="G420" t="s">
        <v>13</v>
      </c>
      <c r="I420" s="37">
        <v>746.99</v>
      </c>
      <c r="L420" s="37">
        <v>746.99</v>
      </c>
      <c r="N420" s="37">
        <v>746.99</v>
      </c>
    </row>
    <row r="421" spans="1:14" x14ac:dyDescent="0.25">
      <c r="A421" s="1">
        <v>46042</v>
      </c>
      <c r="B421">
        <v>3</v>
      </c>
      <c r="C421" t="s">
        <v>541</v>
      </c>
      <c r="D421" t="s">
        <v>10</v>
      </c>
      <c r="E421" t="s">
        <v>247</v>
      </c>
      <c r="F421" t="s">
        <v>12</v>
      </c>
      <c r="G421" t="s">
        <v>104</v>
      </c>
      <c r="I421" s="37">
        <v>746.99</v>
      </c>
      <c r="K421" s="37">
        <v>0.99</v>
      </c>
      <c r="L421" s="37">
        <v>746</v>
      </c>
      <c r="N421" s="37">
        <v>746</v>
      </c>
    </row>
    <row r="422" spans="1:14" x14ac:dyDescent="0.25">
      <c r="A422" s="1">
        <v>46042</v>
      </c>
      <c r="B422">
        <v>3</v>
      </c>
      <c r="C422" t="s">
        <v>541</v>
      </c>
      <c r="D422" t="s">
        <v>10</v>
      </c>
      <c r="E422" t="s">
        <v>248</v>
      </c>
      <c r="F422" t="s">
        <v>12</v>
      </c>
      <c r="G422" t="s">
        <v>13</v>
      </c>
      <c r="I422" s="37">
        <v>746.99</v>
      </c>
      <c r="J422" s="37">
        <v>28.01</v>
      </c>
      <c r="L422" s="37">
        <v>775</v>
      </c>
      <c r="N422" s="37">
        <v>775</v>
      </c>
    </row>
    <row r="423" spans="1:14" x14ac:dyDescent="0.25">
      <c r="A423" s="1">
        <v>46042</v>
      </c>
      <c r="B423">
        <v>3</v>
      </c>
      <c r="C423" t="s">
        <v>541</v>
      </c>
      <c r="D423" t="s">
        <v>10</v>
      </c>
      <c r="E423" t="s">
        <v>250</v>
      </c>
      <c r="F423" t="s">
        <v>12</v>
      </c>
      <c r="G423" t="s">
        <v>13</v>
      </c>
      <c r="I423" s="37">
        <v>746.99</v>
      </c>
      <c r="L423" s="37">
        <v>746.99</v>
      </c>
      <c r="N423" s="37">
        <v>746.99</v>
      </c>
    </row>
    <row r="424" spans="1:14" x14ac:dyDescent="0.25">
      <c r="A424" s="1">
        <v>46042</v>
      </c>
      <c r="B424">
        <v>3</v>
      </c>
      <c r="C424" t="s">
        <v>541</v>
      </c>
      <c r="D424" t="s">
        <v>10</v>
      </c>
      <c r="E424" t="s">
        <v>252</v>
      </c>
      <c r="F424" t="s">
        <v>158</v>
      </c>
      <c r="G424" t="s">
        <v>22</v>
      </c>
      <c r="I424" s="37">
        <v>746.99</v>
      </c>
      <c r="L424" s="37">
        <v>746.99</v>
      </c>
      <c r="N424" s="37">
        <v>746.99</v>
      </c>
    </row>
    <row r="425" spans="1:14" x14ac:dyDescent="0.25">
      <c r="A425" s="1">
        <v>46042</v>
      </c>
      <c r="B425">
        <v>3</v>
      </c>
      <c r="C425" t="s">
        <v>541</v>
      </c>
      <c r="D425" t="s">
        <v>10</v>
      </c>
      <c r="E425" t="s">
        <v>254</v>
      </c>
      <c r="F425" t="s">
        <v>255</v>
      </c>
      <c r="G425" t="s">
        <v>66</v>
      </c>
      <c r="I425" s="37">
        <v>851.99</v>
      </c>
      <c r="K425" s="37">
        <v>1.99</v>
      </c>
      <c r="L425" s="37">
        <v>850</v>
      </c>
      <c r="N425" s="37">
        <v>850</v>
      </c>
    </row>
    <row r="426" spans="1:14" x14ac:dyDescent="0.25">
      <c r="A426" s="1">
        <v>46042</v>
      </c>
      <c r="B426">
        <v>3</v>
      </c>
      <c r="C426" t="s">
        <v>541</v>
      </c>
      <c r="D426" t="s">
        <v>10</v>
      </c>
      <c r="E426" t="s">
        <v>259</v>
      </c>
      <c r="F426" t="s">
        <v>260</v>
      </c>
      <c r="G426" t="s">
        <v>261</v>
      </c>
      <c r="I426" s="37">
        <v>881.99</v>
      </c>
      <c r="J426" s="37">
        <v>30.01</v>
      </c>
      <c r="L426" s="37">
        <v>912</v>
      </c>
      <c r="N426" s="37">
        <v>912</v>
      </c>
    </row>
    <row r="427" spans="1:14" x14ac:dyDescent="0.25">
      <c r="A427" s="1">
        <v>46042</v>
      </c>
      <c r="B427">
        <v>3</v>
      </c>
      <c r="C427" t="s">
        <v>541</v>
      </c>
      <c r="D427" t="s">
        <v>10</v>
      </c>
      <c r="E427" t="s">
        <v>263</v>
      </c>
      <c r="F427" t="s">
        <v>264</v>
      </c>
      <c r="G427" t="s">
        <v>66</v>
      </c>
      <c r="I427" s="37">
        <v>746.99</v>
      </c>
      <c r="J427" s="37">
        <v>33</v>
      </c>
      <c r="L427" s="37">
        <v>779.99</v>
      </c>
      <c r="N427" s="37">
        <v>779.99</v>
      </c>
    </row>
    <row r="428" spans="1:14" x14ac:dyDescent="0.25">
      <c r="A428" s="1">
        <v>46042</v>
      </c>
      <c r="B428">
        <v>3</v>
      </c>
      <c r="C428" t="s">
        <v>541</v>
      </c>
      <c r="D428" t="s">
        <v>10</v>
      </c>
      <c r="E428" t="s">
        <v>268</v>
      </c>
      <c r="F428" t="s">
        <v>52</v>
      </c>
      <c r="G428" t="s">
        <v>77</v>
      </c>
      <c r="I428" s="37">
        <v>1251.99</v>
      </c>
      <c r="K428" s="37">
        <v>536.54999999999995</v>
      </c>
      <c r="L428" s="37">
        <v>715.44</v>
      </c>
      <c r="N428" s="37">
        <v>715.44</v>
      </c>
    </row>
    <row r="429" spans="1:14" x14ac:dyDescent="0.25">
      <c r="A429" s="1">
        <v>46042</v>
      </c>
      <c r="B429">
        <v>3</v>
      </c>
      <c r="C429" t="s">
        <v>541</v>
      </c>
      <c r="D429" t="s">
        <v>10</v>
      </c>
      <c r="E429" t="s">
        <v>270</v>
      </c>
      <c r="F429" t="s">
        <v>12</v>
      </c>
      <c r="G429" t="s">
        <v>13</v>
      </c>
      <c r="I429" s="37">
        <v>746.99</v>
      </c>
      <c r="L429" s="37">
        <v>746.99</v>
      </c>
      <c r="N429" s="37">
        <v>746.99</v>
      </c>
    </row>
    <row r="430" spans="1:14" x14ac:dyDescent="0.25">
      <c r="A430" s="1">
        <v>46042</v>
      </c>
      <c r="B430">
        <v>3</v>
      </c>
      <c r="C430" t="s">
        <v>542</v>
      </c>
      <c r="D430" t="s">
        <v>136</v>
      </c>
      <c r="E430" t="s">
        <v>302</v>
      </c>
      <c r="F430" t="s">
        <v>37</v>
      </c>
      <c r="G430" t="s">
        <v>13</v>
      </c>
      <c r="I430" s="37">
        <v>746.99</v>
      </c>
      <c r="L430" s="37">
        <v>746.99</v>
      </c>
    </row>
    <row r="431" spans="1:14" x14ac:dyDescent="0.25">
      <c r="A431" s="1">
        <v>46042</v>
      </c>
      <c r="B431">
        <v>3</v>
      </c>
      <c r="C431" t="s">
        <v>541</v>
      </c>
      <c r="D431" t="s">
        <v>10</v>
      </c>
      <c r="E431" t="s">
        <v>272</v>
      </c>
      <c r="F431" t="s">
        <v>37</v>
      </c>
      <c r="G431" t="s">
        <v>38</v>
      </c>
      <c r="I431" s="37">
        <v>746.99</v>
      </c>
      <c r="K431" s="37">
        <v>1.99</v>
      </c>
      <c r="L431" s="37">
        <v>745</v>
      </c>
      <c r="N431" s="37">
        <v>745</v>
      </c>
    </row>
    <row r="432" spans="1:14" x14ac:dyDescent="0.25">
      <c r="A432" s="1">
        <v>46042</v>
      </c>
      <c r="B432">
        <v>3</v>
      </c>
      <c r="C432" t="s">
        <v>541</v>
      </c>
      <c r="D432" t="s">
        <v>10</v>
      </c>
      <c r="E432" t="s">
        <v>274</v>
      </c>
      <c r="F432" t="s">
        <v>52</v>
      </c>
      <c r="G432" t="s">
        <v>77</v>
      </c>
      <c r="I432" s="37">
        <v>1251.99</v>
      </c>
      <c r="J432" s="37">
        <v>59.01</v>
      </c>
      <c r="L432" s="37">
        <v>1311</v>
      </c>
      <c r="N432" s="37">
        <v>1311</v>
      </c>
    </row>
    <row r="433" spans="1:14" x14ac:dyDescent="0.25">
      <c r="A433" s="1">
        <v>46042</v>
      </c>
      <c r="B433">
        <v>3</v>
      </c>
      <c r="C433" t="s">
        <v>541</v>
      </c>
      <c r="D433" t="s">
        <v>10</v>
      </c>
      <c r="E433" t="s">
        <v>276</v>
      </c>
      <c r="F433" t="s">
        <v>277</v>
      </c>
      <c r="G433" t="s">
        <v>13</v>
      </c>
      <c r="I433" s="37">
        <v>746.99</v>
      </c>
      <c r="J433" s="37">
        <v>3.01</v>
      </c>
      <c r="L433" s="37">
        <v>750</v>
      </c>
      <c r="N433" s="37">
        <v>750</v>
      </c>
    </row>
    <row r="434" spans="1:14" x14ac:dyDescent="0.25">
      <c r="A434" s="1">
        <v>46042</v>
      </c>
      <c r="B434">
        <v>3</v>
      </c>
      <c r="C434" t="s">
        <v>541</v>
      </c>
      <c r="D434" t="s">
        <v>10</v>
      </c>
      <c r="E434" t="s">
        <v>279</v>
      </c>
      <c r="F434" t="s">
        <v>55</v>
      </c>
      <c r="G434" t="s">
        <v>56</v>
      </c>
      <c r="I434" s="37">
        <v>746.99</v>
      </c>
      <c r="J434" s="37">
        <v>3.01</v>
      </c>
      <c r="L434" s="37">
        <v>750</v>
      </c>
      <c r="N434" s="37">
        <v>750</v>
      </c>
    </row>
    <row r="435" spans="1:14" x14ac:dyDescent="0.25">
      <c r="A435" s="1">
        <v>46042</v>
      </c>
      <c r="B435">
        <v>3</v>
      </c>
      <c r="C435" t="s">
        <v>541</v>
      </c>
      <c r="D435" t="s">
        <v>10</v>
      </c>
      <c r="E435" t="s">
        <v>281</v>
      </c>
      <c r="F435" t="s">
        <v>55</v>
      </c>
      <c r="G435" t="s">
        <v>56</v>
      </c>
      <c r="I435" s="37">
        <v>746.99</v>
      </c>
      <c r="J435" s="37">
        <v>60</v>
      </c>
      <c r="L435" s="37">
        <v>806.99</v>
      </c>
      <c r="N435" s="37">
        <v>806.99</v>
      </c>
    </row>
    <row r="436" spans="1:14" x14ac:dyDescent="0.25">
      <c r="A436" s="1">
        <v>46042</v>
      </c>
      <c r="B436">
        <v>3</v>
      </c>
      <c r="C436" t="s">
        <v>541</v>
      </c>
      <c r="D436" t="s">
        <v>10</v>
      </c>
      <c r="E436" t="s">
        <v>283</v>
      </c>
      <c r="F436" t="s">
        <v>76</v>
      </c>
      <c r="G436" t="s">
        <v>77</v>
      </c>
      <c r="I436" s="37">
        <v>1451.99</v>
      </c>
      <c r="L436" s="37">
        <v>1451.99</v>
      </c>
      <c r="N436" s="37">
        <v>1451.99</v>
      </c>
    </row>
    <row r="437" spans="1:14" x14ac:dyDescent="0.25">
      <c r="A437" s="1">
        <v>46042</v>
      </c>
      <c r="B437">
        <v>3</v>
      </c>
      <c r="C437" t="s">
        <v>541</v>
      </c>
      <c r="D437" t="s">
        <v>10</v>
      </c>
      <c r="E437" t="s">
        <v>285</v>
      </c>
      <c r="F437" t="s">
        <v>76</v>
      </c>
      <c r="G437" t="s">
        <v>77</v>
      </c>
      <c r="I437" s="37">
        <v>1451.99</v>
      </c>
      <c r="K437" s="37">
        <v>1.99</v>
      </c>
      <c r="L437" s="37">
        <v>1450</v>
      </c>
      <c r="N437" s="37">
        <v>1450</v>
      </c>
    </row>
    <row r="438" spans="1:14" x14ac:dyDescent="0.25">
      <c r="A438" s="1">
        <v>46042</v>
      </c>
      <c r="B438">
        <v>3</v>
      </c>
      <c r="C438" t="s">
        <v>542</v>
      </c>
      <c r="D438" t="s">
        <v>99</v>
      </c>
      <c r="E438" t="s">
        <v>312</v>
      </c>
      <c r="F438" t="s">
        <v>158</v>
      </c>
      <c r="G438" t="s">
        <v>104</v>
      </c>
      <c r="I438" s="37">
        <v>746.99</v>
      </c>
      <c r="L438" s="37">
        <v>746.99</v>
      </c>
    </row>
    <row r="439" spans="1:14" x14ac:dyDescent="0.25">
      <c r="A439" s="1">
        <v>46042</v>
      </c>
      <c r="B439">
        <v>3</v>
      </c>
      <c r="C439" t="s">
        <v>542</v>
      </c>
      <c r="D439" t="s">
        <v>234</v>
      </c>
      <c r="E439" t="s">
        <v>97</v>
      </c>
      <c r="F439" t="s">
        <v>33</v>
      </c>
      <c r="G439" t="s">
        <v>13</v>
      </c>
      <c r="I439" s="37">
        <v>851.99</v>
      </c>
      <c r="L439" s="37">
        <v>851.99</v>
      </c>
    </row>
    <row r="440" spans="1:14" x14ac:dyDescent="0.25">
      <c r="A440" s="1">
        <v>46042</v>
      </c>
      <c r="B440">
        <v>3</v>
      </c>
      <c r="C440" t="s">
        <v>542</v>
      </c>
      <c r="D440" t="s">
        <v>99</v>
      </c>
      <c r="E440" t="s">
        <v>313</v>
      </c>
      <c r="F440" t="s">
        <v>52</v>
      </c>
      <c r="G440" t="s">
        <v>314</v>
      </c>
      <c r="I440" s="37">
        <v>1251.99</v>
      </c>
      <c r="L440" s="37">
        <v>1296.99</v>
      </c>
    </row>
    <row r="441" spans="1:14" x14ac:dyDescent="0.25">
      <c r="A441" s="1">
        <v>46042</v>
      </c>
      <c r="B441">
        <v>3</v>
      </c>
      <c r="C441" t="s">
        <v>542</v>
      </c>
      <c r="D441" t="s">
        <v>89</v>
      </c>
      <c r="E441" t="s">
        <v>315</v>
      </c>
      <c r="F441" t="s">
        <v>41</v>
      </c>
      <c r="G441" t="s">
        <v>111</v>
      </c>
      <c r="I441" s="37">
        <v>746.99</v>
      </c>
      <c r="L441" s="37">
        <v>746.99</v>
      </c>
    </row>
    <row r="442" spans="1:14" x14ac:dyDescent="0.25">
      <c r="A442" s="1">
        <v>46042</v>
      </c>
      <c r="B442">
        <v>3</v>
      </c>
      <c r="C442" t="s">
        <v>542</v>
      </c>
      <c r="D442" t="s">
        <v>99</v>
      </c>
      <c r="E442" t="s">
        <v>327</v>
      </c>
      <c r="F442" t="s">
        <v>158</v>
      </c>
      <c r="G442" t="s">
        <v>22</v>
      </c>
      <c r="I442" s="37">
        <v>746.99</v>
      </c>
      <c r="L442" s="37">
        <v>746.99</v>
      </c>
    </row>
    <row r="443" spans="1:14" x14ac:dyDescent="0.25">
      <c r="A443" s="1">
        <v>46042</v>
      </c>
      <c r="B443">
        <v>3</v>
      </c>
      <c r="C443" t="s">
        <v>542</v>
      </c>
      <c r="D443" t="s">
        <v>99</v>
      </c>
      <c r="E443" t="s">
        <v>328</v>
      </c>
      <c r="F443" t="s">
        <v>55</v>
      </c>
      <c r="G443" t="s">
        <v>13</v>
      </c>
      <c r="I443" s="37">
        <v>746.99</v>
      </c>
      <c r="L443" s="37">
        <v>746.99</v>
      </c>
    </row>
    <row r="444" spans="1:14" x14ac:dyDescent="0.25">
      <c r="A444" s="1">
        <v>46042</v>
      </c>
      <c r="B444">
        <v>3</v>
      </c>
      <c r="C444" t="s">
        <v>542</v>
      </c>
      <c r="D444" t="s">
        <v>99</v>
      </c>
      <c r="E444" t="s">
        <v>329</v>
      </c>
      <c r="F444" t="s">
        <v>158</v>
      </c>
      <c r="G444" t="s">
        <v>104</v>
      </c>
      <c r="I444" s="37">
        <v>746.99</v>
      </c>
      <c r="L444" s="37">
        <v>746.99</v>
      </c>
    </row>
    <row r="445" spans="1:14" x14ac:dyDescent="0.25">
      <c r="A445" s="1">
        <v>46042</v>
      </c>
      <c r="B445">
        <v>3</v>
      </c>
      <c r="C445" t="s">
        <v>542</v>
      </c>
      <c r="D445" t="s">
        <v>99</v>
      </c>
      <c r="E445" t="s">
        <v>331</v>
      </c>
      <c r="F445" t="s">
        <v>12</v>
      </c>
      <c r="G445" t="s">
        <v>13</v>
      </c>
      <c r="I445" s="37">
        <v>746.99</v>
      </c>
      <c r="L445" s="37">
        <v>746.99</v>
      </c>
    </row>
    <row r="446" spans="1:14" x14ac:dyDescent="0.25">
      <c r="A446" s="1">
        <v>46042</v>
      </c>
      <c r="B446">
        <v>3</v>
      </c>
      <c r="C446" t="s">
        <v>542</v>
      </c>
      <c r="D446" t="s">
        <v>99</v>
      </c>
      <c r="E446" t="s">
        <v>332</v>
      </c>
      <c r="F446" t="s">
        <v>52</v>
      </c>
      <c r="G446" t="s">
        <v>77</v>
      </c>
      <c r="I446" s="37">
        <v>1251.99</v>
      </c>
      <c r="L446" s="37">
        <v>1251.99</v>
      </c>
    </row>
    <row r="447" spans="1:14" x14ac:dyDescent="0.25">
      <c r="A447" s="1">
        <v>46042</v>
      </c>
      <c r="B447">
        <v>3</v>
      </c>
      <c r="C447" t="s">
        <v>542</v>
      </c>
      <c r="D447" t="s">
        <v>99</v>
      </c>
      <c r="E447" t="s">
        <v>333</v>
      </c>
      <c r="F447" t="s">
        <v>158</v>
      </c>
      <c r="G447" t="s">
        <v>22</v>
      </c>
      <c r="I447" s="37">
        <v>746.99</v>
      </c>
      <c r="L447" s="37">
        <v>746.99</v>
      </c>
    </row>
    <row r="448" spans="1:14" x14ac:dyDescent="0.25">
      <c r="A448" s="1">
        <v>46042</v>
      </c>
      <c r="B448">
        <v>3</v>
      </c>
      <c r="C448" t="s">
        <v>542</v>
      </c>
      <c r="D448" t="s">
        <v>99</v>
      </c>
      <c r="E448" t="s">
        <v>62</v>
      </c>
      <c r="F448" t="s">
        <v>12</v>
      </c>
      <c r="G448" t="s">
        <v>13</v>
      </c>
      <c r="I448" s="37">
        <v>746.99</v>
      </c>
      <c r="L448" s="37">
        <v>746.99</v>
      </c>
    </row>
    <row r="449" spans="1:14" x14ac:dyDescent="0.25">
      <c r="A449" s="1">
        <v>46042</v>
      </c>
      <c r="B449">
        <v>3</v>
      </c>
      <c r="C449" t="s">
        <v>542</v>
      </c>
      <c r="D449" t="s">
        <v>99</v>
      </c>
      <c r="E449" t="s">
        <v>100</v>
      </c>
      <c r="F449" t="s">
        <v>101</v>
      </c>
      <c r="G449" t="s">
        <v>13</v>
      </c>
      <c r="I449" s="37">
        <v>1251.99</v>
      </c>
      <c r="L449" s="37">
        <v>1251.99</v>
      </c>
    </row>
    <row r="450" spans="1:14" x14ac:dyDescent="0.25">
      <c r="A450" s="1">
        <v>46042</v>
      </c>
      <c r="B450">
        <v>3</v>
      </c>
      <c r="C450" t="s">
        <v>542</v>
      </c>
      <c r="D450" t="s">
        <v>99</v>
      </c>
      <c r="E450" t="s">
        <v>334</v>
      </c>
      <c r="F450" t="s">
        <v>28</v>
      </c>
      <c r="G450" t="s">
        <v>13</v>
      </c>
      <c r="I450" s="37">
        <v>931.99</v>
      </c>
      <c r="L450" s="37">
        <v>931.99</v>
      </c>
    </row>
    <row r="451" spans="1:14" x14ac:dyDescent="0.25">
      <c r="A451" s="1">
        <v>46042</v>
      </c>
      <c r="B451">
        <v>3</v>
      </c>
      <c r="C451" t="s">
        <v>542</v>
      </c>
      <c r="D451" t="s">
        <v>89</v>
      </c>
      <c r="E451" t="s">
        <v>115</v>
      </c>
      <c r="F451" t="s">
        <v>116</v>
      </c>
      <c r="G451" t="s">
        <v>13</v>
      </c>
      <c r="I451" s="37">
        <v>746.99</v>
      </c>
      <c r="L451" s="37">
        <v>746.99</v>
      </c>
    </row>
    <row r="452" spans="1:14" x14ac:dyDescent="0.25">
      <c r="A452" s="1">
        <v>46042</v>
      </c>
      <c r="B452">
        <v>3</v>
      </c>
      <c r="C452" t="s">
        <v>542</v>
      </c>
      <c r="D452" t="s">
        <v>89</v>
      </c>
      <c r="E452" t="s">
        <v>335</v>
      </c>
      <c r="F452" t="s">
        <v>158</v>
      </c>
      <c r="G452" t="s">
        <v>104</v>
      </c>
      <c r="I452" s="37">
        <v>746.99</v>
      </c>
      <c r="L452" s="37">
        <v>746.99</v>
      </c>
    </row>
    <row r="453" spans="1:14" x14ac:dyDescent="0.25">
      <c r="A453" s="1">
        <v>46042</v>
      </c>
      <c r="B453">
        <v>3</v>
      </c>
      <c r="C453" t="s">
        <v>542</v>
      </c>
      <c r="D453" t="s">
        <v>336</v>
      </c>
      <c r="E453" t="s">
        <v>337</v>
      </c>
      <c r="F453" t="s">
        <v>41</v>
      </c>
      <c r="G453" t="s">
        <v>13</v>
      </c>
      <c r="I453" s="37">
        <v>746.99</v>
      </c>
      <c r="L453" s="37">
        <v>746.99</v>
      </c>
    </row>
    <row r="454" spans="1:14" x14ac:dyDescent="0.25">
      <c r="A454" s="1">
        <v>46042</v>
      </c>
      <c r="B454">
        <v>3</v>
      </c>
      <c r="C454" t="s">
        <v>542</v>
      </c>
      <c r="D454" t="s">
        <v>336</v>
      </c>
      <c r="E454" t="s">
        <v>338</v>
      </c>
      <c r="F454" t="s">
        <v>55</v>
      </c>
      <c r="G454" t="s">
        <v>13</v>
      </c>
      <c r="I454" s="37">
        <v>746.99</v>
      </c>
      <c r="L454" s="37">
        <v>746.99</v>
      </c>
    </row>
    <row r="455" spans="1:14" x14ac:dyDescent="0.25">
      <c r="A455" s="1">
        <v>46042</v>
      </c>
      <c r="B455">
        <v>3</v>
      </c>
      <c r="C455" t="s">
        <v>542</v>
      </c>
      <c r="D455" t="s">
        <v>336</v>
      </c>
      <c r="E455" t="s">
        <v>339</v>
      </c>
      <c r="F455" t="s">
        <v>55</v>
      </c>
      <c r="G455" t="s">
        <v>340</v>
      </c>
      <c r="I455" s="37">
        <v>746.99</v>
      </c>
      <c r="L455" s="37">
        <v>746.99</v>
      </c>
    </row>
    <row r="456" spans="1:14" x14ac:dyDescent="0.25">
      <c r="A456" s="1">
        <v>46042</v>
      </c>
      <c r="B456">
        <v>3</v>
      </c>
      <c r="C456" t="s">
        <v>542</v>
      </c>
      <c r="D456" t="s">
        <v>336</v>
      </c>
      <c r="E456" t="s">
        <v>341</v>
      </c>
      <c r="F456" t="s">
        <v>52</v>
      </c>
      <c r="G456" t="s">
        <v>183</v>
      </c>
      <c r="I456" s="37">
        <v>1251.99</v>
      </c>
      <c r="L456" s="37">
        <v>1251.99</v>
      </c>
    </row>
    <row r="457" spans="1:14" x14ac:dyDescent="0.25">
      <c r="A457" s="1">
        <v>46042</v>
      </c>
      <c r="B457">
        <v>3</v>
      </c>
      <c r="C457" t="s">
        <v>542</v>
      </c>
      <c r="D457" t="s">
        <v>336</v>
      </c>
      <c r="E457" t="s">
        <v>344</v>
      </c>
      <c r="F457" t="s">
        <v>116</v>
      </c>
      <c r="G457" t="s">
        <v>340</v>
      </c>
      <c r="I457" s="37">
        <v>746.99</v>
      </c>
      <c r="L457" s="37">
        <v>746.99</v>
      </c>
    </row>
    <row r="458" spans="1:14" x14ac:dyDescent="0.25">
      <c r="A458" s="1">
        <v>46042</v>
      </c>
      <c r="B458">
        <v>3</v>
      </c>
      <c r="C458" t="s">
        <v>542</v>
      </c>
      <c r="D458" t="s">
        <v>336</v>
      </c>
      <c r="E458" t="s">
        <v>108</v>
      </c>
      <c r="F458" t="s">
        <v>55</v>
      </c>
      <c r="G458" t="s">
        <v>104</v>
      </c>
      <c r="I458" s="37">
        <v>746.99</v>
      </c>
      <c r="L458" s="37">
        <v>746.99</v>
      </c>
      <c r="M458" s="37">
        <v>10</v>
      </c>
    </row>
    <row r="459" spans="1:14" x14ac:dyDescent="0.25">
      <c r="A459" s="1">
        <v>46042</v>
      </c>
      <c r="B459">
        <v>3</v>
      </c>
      <c r="C459" t="s">
        <v>541</v>
      </c>
      <c r="D459" t="s">
        <v>10</v>
      </c>
      <c r="E459" t="s">
        <v>345</v>
      </c>
      <c r="F459" t="s">
        <v>12</v>
      </c>
      <c r="G459" t="s">
        <v>346</v>
      </c>
      <c r="I459" s="37">
        <v>746.99</v>
      </c>
      <c r="K459" s="37">
        <v>0.01</v>
      </c>
      <c r="L459" s="37">
        <v>746.98</v>
      </c>
      <c r="N459" s="37">
        <v>746.98</v>
      </c>
    </row>
    <row r="460" spans="1:14" x14ac:dyDescent="0.25">
      <c r="A460" s="1">
        <v>46042</v>
      </c>
      <c r="B460">
        <v>3</v>
      </c>
      <c r="C460" t="s">
        <v>541</v>
      </c>
      <c r="D460" t="s">
        <v>10</v>
      </c>
      <c r="E460" t="s">
        <v>504</v>
      </c>
      <c r="F460" t="s">
        <v>37</v>
      </c>
      <c r="G460" t="s">
        <v>420</v>
      </c>
      <c r="I460" s="37">
        <v>746.99</v>
      </c>
      <c r="L460" s="37">
        <v>791</v>
      </c>
      <c r="N460" s="37">
        <v>746.99</v>
      </c>
    </row>
    <row r="461" spans="1:14" x14ac:dyDescent="0.25">
      <c r="A461" s="1">
        <v>46042</v>
      </c>
      <c r="B461">
        <v>3</v>
      </c>
      <c r="C461" t="s">
        <v>541</v>
      </c>
      <c r="D461" t="s">
        <v>10</v>
      </c>
      <c r="E461" t="s">
        <v>347</v>
      </c>
      <c r="F461" t="s">
        <v>348</v>
      </c>
      <c r="G461" t="s">
        <v>349</v>
      </c>
      <c r="I461" s="37">
        <v>801.99</v>
      </c>
      <c r="L461" s="37">
        <v>801.99</v>
      </c>
      <c r="N461" s="37">
        <v>801.99</v>
      </c>
    </row>
    <row r="462" spans="1:14" x14ac:dyDescent="0.25">
      <c r="A462" s="1">
        <v>46042</v>
      </c>
      <c r="B462">
        <v>3</v>
      </c>
      <c r="C462" t="s">
        <v>541</v>
      </c>
      <c r="D462" t="s">
        <v>10</v>
      </c>
      <c r="E462" t="s">
        <v>350</v>
      </c>
      <c r="F462" t="s">
        <v>12</v>
      </c>
      <c r="G462" t="s">
        <v>349</v>
      </c>
      <c r="I462" s="37">
        <v>801.99</v>
      </c>
      <c r="L462" s="37">
        <v>801.99</v>
      </c>
      <c r="N462" s="37">
        <v>801.99</v>
      </c>
    </row>
    <row r="463" spans="1:14" x14ac:dyDescent="0.25">
      <c r="A463" s="1">
        <v>46042</v>
      </c>
      <c r="B463">
        <v>3</v>
      </c>
      <c r="C463" t="s">
        <v>541</v>
      </c>
      <c r="D463" t="s">
        <v>10</v>
      </c>
      <c r="E463" t="s">
        <v>351</v>
      </c>
      <c r="F463" t="s">
        <v>116</v>
      </c>
      <c r="G463" t="s">
        <v>346</v>
      </c>
      <c r="I463" s="37">
        <v>746.99</v>
      </c>
      <c r="J463" s="37">
        <v>90</v>
      </c>
      <c r="L463" s="37">
        <v>836.99</v>
      </c>
      <c r="N463" s="37">
        <v>836.99</v>
      </c>
    </row>
    <row r="464" spans="1:14" x14ac:dyDescent="0.25">
      <c r="A464" s="1">
        <v>46042</v>
      </c>
      <c r="B464">
        <v>3</v>
      </c>
      <c r="C464" t="s">
        <v>541</v>
      </c>
      <c r="D464" t="s">
        <v>10</v>
      </c>
      <c r="E464" t="s">
        <v>505</v>
      </c>
      <c r="F464" t="s">
        <v>158</v>
      </c>
      <c r="G464" t="s">
        <v>346</v>
      </c>
      <c r="I464" s="37">
        <v>746.99</v>
      </c>
      <c r="J464" s="37">
        <v>60</v>
      </c>
      <c r="L464" s="37">
        <v>806.99</v>
      </c>
      <c r="N464" s="37">
        <v>440</v>
      </c>
    </row>
    <row r="465" spans="1:14" x14ac:dyDescent="0.25">
      <c r="A465" s="1">
        <v>46042</v>
      </c>
      <c r="B465">
        <v>3</v>
      </c>
      <c r="C465" t="s">
        <v>541</v>
      </c>
      <c r="D465" t="s">
        <v>10</v>
      </c>
      <c r="E465" t="s">
        <v>352</v>
      </c>
      <c r="F465" t="s">
        <v>158</v>
      </c>
      <c r="G465" t="s">
        <v>353</v>
      </c>
      <c r="I465" s="37">
        <v>746.99</v>
      </c>
      <c r="L465" s="37">
        <v>746.99</v>
      </c>
      <c r="M465" s="37">
        <v>289.49</v>
      </c>
      <c r="N465" s="37">
        <v>746.99</v>
      </c>
    </row>
    <row r="466" spans="1:14" x14ac:dyDescent="0.25">
      <c r="A466" s="1">
        <v>46042</v>
      </c>
      <c r="B466">
        <v>3</v>
      </c>
      <c r="C466" t="s">
        <v>541</v>
      </c>
      <c r="D466" t="s">
        <v>10</v>
      </c>
      <c r="E466" t="s">
        <v>354</v>
      </c>
      <c r="F466" t="s">
        <v>230</v>
      </c>
      <c r="G466" t="s">
        <v>346</v>
      </c>
      <c r="I466" s="37">
        <v>746.99</v>
      </c>
      <c r="K466" s="37">
        <v>212.99</v>
      </c>
      <c r="L466" s="37">
        <v>534</v>
      </c>
      <c r="N466" s="37">
        <v>534</v>
      </c>
    </row>
    <row r="467" spans="1:14" x14ac:dyDescent="0.25">
      <c r="A467" s="1">
        <v>46042</v>
      </c>
      <c r="B467">
        <v>3</v>
      </c>
      <c r="C467" t="s">
        <v>541</v>
      </c>
      <c r="D467" t="s">
        <v>10</v>
      </c>
      <c r="E467" t="s">
        <v>355</v>
      </c>
      <c r="F467" t="s">
        <v>158</v>
      </c>
      <c r="G467" t="s">
        <v>346</v>
      </c>
      <c r="I467" s="37">
        <v>746.99</v>
      </c>
      <c r="K467" s="37">
        <v>1.99</v>
      </c>
      <c r="L467" s="37">
        <v>745</v>
      </c>
      <c r="N467" s="37">
        <v>745</v>
      </c>
    </row>
    <row r="468" spans="1:14" x14ac:dyDescent="0.25">
      <c r="A468" s="1">
        <v>46042</v>
      </c>
      <c r="B468">
        <v>3</v>
      </c>
      <c r="C468" t="s">
        <v>541</v>
      </c>
      <c r="D468" t="s">
        <v>10</v>
      </c>
      <c r="E468" t="s">
        <v>356</v>
      </c>
      <c r="F468" t="s">
        <v>158</v>
      </c>
      <c r="G468" t="s">
        <v>346</v>
      </c>
      <c r="I468" s="37">
        <v>746.99</v>
      </c>
      <c r="K468" s="37">
        <v>1.99</v>
      </c>
      <c r="L468" s="37">
        <v>745</v>
      </c>
      <c r="N468" s="37">
        <v>745</v>
      </c>
    </row>
    <row r="469" spans="1:14" x14ac:dyDescent="0.25">
      <c r="A469" s="1">
        <v>46042</v>
      </c>
      <c r="B469">
        <v>3</v>
      </c>
      <c r="C469" t="s">
        <v>541</v>
      </c>
      <c r="D469" t="s">
        <v>10</v>
      </c>
      <c r="E469" t="s">
        <v>357</v>
      </c>
      <c r="F469" t="s">
        <v>55</v>
      </c>
      <c r="G469" t="s">
        <v>346</v>
      </c>
      <c r="I469" s="37">
        <v>746.99</v>
      </c>
      <c r="L469" s="37">
        <v>746.99</v>
      </c>
      <c r="N469" s="37">
        <v>746.99</v>
      </c>
    </row>
    <row r="470" spans="1:14" x14ac:dyDescent="0.25">
      <c r="A470" s="1">
        <v>46042</v>
      </c>
      <c r="B470">
        <v>3</v>
      </c>
      <c r="C470" t="s">
        <v>541</v>
      </c>
      <c r="D470" t="s">
        <v>10</v>
      </c>
      <c r="E470" t="s">
        <v>508</v>
      </c>
      <c r="F470" t="s">
        <v>158</v>
      </c>
      <c r="G470" t="s">
        <v>346</v>
      </c>
      <c r="I470" s="37">
        <v>746.99</v>
      </c>
      <c r="L470" s="37">
        <v>791.99</v>
      </c>
      <c r="N470" s="37">
        <v>746.99</v>
      </c>
    </row>
    <row r="471" spans="1:14" x14ac:dyDescent="0.25">
      <c r="A471" s="1">
        <v>46042</v>
      </c>
      <c r="B471">
        <v>3</v>
      </c>
      <c r="C471" t="s">
        <v>541</v>
      </c>
      <c r="D471" t="s">
        <v>10</v>
      </c>
      <c r="E471" t="s">
        <v>358</v>
      </c>
      <c r="F471" t="s">
        <v>52</v>
      </c>
      <c r="G471" t="s">
        <v>359</v>
      </c>
      <c r="I471" s="37">
        <v>1251.99</v>
      </c>
      <c r="J471" s="37">
        <v>28.01</v>
      </c>
      <c r="L471" s="37">
        <v>1280</v>
      </c>
      <c r="N471" s="37">
        <v>1280</v>
      </c>
    </row>
    <row r="472" spans="1:14" x14ac:dyDescent="0.25">
      <c r="A472" s="1">
        <v>46042</v>
      </c>
      <c r="B472">
        <v>3</v>
      </c>
      <c r="C472" t="s">
        <v>541</v>
      </c>
      <c r="D472" t="s">
        <v>10</v>
      </c>
      <c r="E472" t="s">
        <v>360</v>
      </c>
      <c r="F472" t="s">
        <v>211</v>
      </c>
      <c r="G472" t="s">
        <v>346</v>
      </c>
      <c r="I472" s="37">
        <v>746.99</v>
      </c>
      <c r="L472" s="37">
        <v>791.99</v>
      </c>
      <c r="N472" s="37">
        <v>746.99</v>
      </c>
    </row>
    <row r="473" spans="1:14" x14ac:dyDescent="0.25">
      <c r="A473" s="1">
        <v>46042</v>
      </c>
      <c r="B473">
        <v>3</v>
      </c>
      <c r="C473" t="s">
        <v>541</v>
      </c>
      <c r="D473" t="s">
        <v>10</v>
      </c>
      <c r="E473" t="s">
        <v>361</v>
      </c>
      <c r="F473" t="s">
        <v>52</v>
      </c>
      <c r="G473" t="s">
        <v>346</v>
      </c>
      <c r="I473" s="37">
        <v>1251.99</v>
      </c>
      <c r="J473" s="37">
        <v>60.01</v>
      </c>
      <c r="L473" s="37">
        <v>1312</v>
      </c>
      <c r="N473" s="37">
        <v>1312</v>
      </c>
    </row>
    <row r="474" spans="1:14" x14ac:dyDescent="0.25">
      <c r="A474" s="1">
        <v>46042</v>
      </c>
      <c r="B474">
        <v>3</v>
      </c>
      <c r="C474" t="s">
        <v>541</v>
      </c>
      <c r="D474" t="s">
        <v>10</v>
      </c>
      <c r="E474" t="s">
        <v>362</v>
      </c>
      <c r="F474" t="s">
        <v>52</v>
      </c>
      <c r="G474" t="s">
        <v>363</v>
      </c>
      <c r="I474" s="37">
        <v>1251.99</v>
      </c>
      <c r="J474" s="37">
        <v>60</v>
      </c>
      <c r="L474" s="37">
        <v>1311.99</v>
      </c>
      <c r="N474" s="37">
        <v>1311.99</v>
      </c>
    </row>
    <row r="475" spans="1:14" x14ac:dyDescent="0.25">
      <c r="A475" s="1">
        <v>46042</v>
      </c>
      <c r="B475">
        <v>3</v>
      </c>
      <c r="C475" t="s">
        <v>541</v>
      </c>
      <c r="D475" t="s">
        <v>10</v>
      </c>
      <c r="E475" t="s">
        <v>364</v>
      </c>
      <c r="F475" t="s">
        <v>365</v>
      </c>
      <c r="G475" t="s">
        <v>346</v>
      </c>
      <c r="I475" s="37">
        <v>801.99</v>
      </c>
      <c r="L475" s="37">
        <v>846.99</v>
      </c>
      <c r="N475" s="37">
        <v>801.99</v>
      </c>
    </row>
    <row r="476" spans="1:14" x14ac:dyDescent="0.25">
      <c r="A476" s="1">
        <v>46042</v>
      </c>
      <c r="B476">
        <v>3</v>
      </c>
      <c r="C476" t="s">
        <v>541</v>
      </c>
      <c r="D476" t="s">
        <v>10</v>
      </c>
      <c r="E476" t="s">
        <v>366</v>
      </c>
      <c r="F476" t="s">
        <v>52</v>
      </c>
      <c r="G476" t="s">
        <v>346</v>
      </c>
      <c r="I476" s="37">
        <v>1251.99</v>
      </c>
      <c r="L476" s="37">
        <v>1251.99</v>
      </c>
      <c r="N476" s="37">
        <v>1251.99</v>
      </c>
    </row>
    <row r="477" spans="1:14" x14ac:dyDescent="0.25">
      <c r="A477" s="1">
        <v>46042</v>
      </c>
      <c r="B477">
        <v>3</v>
      </c>
      <c r="C477" t="s">
        <v>541</v>
      </c>
      <c r="D477" t="s">
        <v>10</v>
      </c>
      <c r="E477" t="s">
        <v>367</v>
      </c>
      <c r="F477" t="s">
        <v>52</v>
      </c>
      <c r="G477" t="s">
        <v>346</v>
      </c>
      <c r="I477" s="37">
        <v>1251.99</v>
      </c>
      <c r="L477" s="37">
        <v>1296.99</v>
      </c>
      <c r="N477" s="37">
        <v>1251.99</v>
      </c>
    </row>
    <row r="478" spans="1:14" x14ac:dyDescent="0.25">
      <c r="A478" s="1">
        <v>46042</v>
      </c>
      <c r="B478">
        <v>3</v>
      </c>
      <c r="C478" t="s">
        <v>541</v>
      </c>
      <c r="D478" t="s">
        <v>10</v>
      </c>
      <c r="E478" t="s">
        <v>368</v>
      </c>
      <c r="F478" t="s">
        <v>369</v>
      </c>
      <c r="G478" t="s">
        <v>370</v>
      </c>
      <c r="I478" s="37">
        <v>981.99</v>
      </c>
      <c r="J478" s="37">
        <v>0.01</v>
      </c>
      <c r="L478" s="37">
        <v>982</v>
      </c>
      <c r="N478" s="37">
        <v>982</v>
      </c>
    </row>
    <row r="479" spans="1:14" x14ac:dyDescent="0.25">
      <c r="A479" s="1">
        <v>46042</v>
      </c>
      <c r="B479">
        <v>3</v>
      </c>
      <c r="C479" t="s">
        <v>541</v>
      </c>
      <c r="D479" t="s">
        <v>10</v>
      </c>
      <c r="E479" t="s">
        <v>371</v>
      </c>
      <c r="F479" t="s">
        <v>277</v>
      </c>
      <c r="G479" t="s">
        <v>370</v>
      </c>
      <c r="I479" s="37">
        <v>1051.99</v>
      </c>
      <c r="L479" s="37">
        <v>1051.99</v>
      </c>
      <c r="N479" s="37">
        <v>1051.99</v>
      </c>
    </row>
    <row r="480" spans="1:14" x14ac:dyDescent="0.25">
      <c r="A480" s="1">
        <v>46042</v>
      </c>
      <c r="B480">
        <v>3</v>
      </c>
      <c r="C480" t="s">
        <v>541</v>
      </c>
      <c r="D480" t="s">
        <v>10</v>
      </c>
      <c r="E480" t="s">
        <v>377</v>
      </c>
      <c r="F480" t="s">
        <v>69</v>
      </c>
      <c r="G480" t="s">
        <v>378</v>
      </c>
      <c r="I480" s="37">
        <v>746.99</v>
      </c>
      <c r="J480" s="37">
        <v>3.01</v>
      </c>
      <c r="L480" s="37">
        <v>750</v>
      </c>
      <c r="N480" s="37">
        <v>750</v>
      </c>
    </row>
    <row r="481" spans="1:14" x14ac:dyDescent="0.25">
      <c r="A481" s="1">
        <v>46042</v>
      </c>
      <c r="B481">
        <v>3</v>
      </c>
      <c r="C481" t="s">
        <v>541</v>
      </c>
      <c r="D481" t="s">
        <v>10</v>
      </c>
      <c r="E481" t="s">
        <v>379</v>
      </c>
      <c r="F481" t="s">
        <v>41</v>
      </c>
      <c r="G481" t="s">
        <v>380</v>
      </c>
      <c r="I481" s="37">
        <v>746.99</v>
      </c>
      <c r="J481" s="37">
        <v>33.01</v>
      </c>
      <c r="L481" s="37">
        <v>780</v>
      </c>
      <c r="N481" s="37">
        <v>780</v>
      </c>
    </row>
    <row r="482" spans="1:14" x14ac:dyDescent="0.25">
      <c r="A482" s="1">
        <v>46042</v>
      </c>
      <c r="B482">
        <v>3</v>
      </c>
      <c r="C482" t="s">
        <v>541</v>
      </c>
      <c r="D482" t="s">
        <v>10</v>
      </c>
      <c r="E482" t="s">
        <v>381</v>
      </c>
      <c r="F482" t="s">
        <v>41</v>
      </c>
      <c r="G482" t="s">
        <v>380</v>
      </c>
      <c r="I482" s="37">
        <v>746.99</v>
      </c>
      <c r="J482" s="37">
        <v>30</v>
      </c>
      <c r="L482" s="37">
        <v>776.99</v>
      </c>
      <c r="M482" s="37">
        <v>245.12</v>
      </c>
      <c r="N482" s="37">
        <v>776.99</v>
      </c>
    </row>
    <row r="483" spans="1:14" x14ac:dyDescent="0.25">
      <c r="A483" s="1">
        <v>46042</v>
      </c>
      <c r="B483">
        <v>3</v>
      </c>
      <c r="C483" t="s">
        <v>541</v>
      </c>
      <c r="D483" t="s">
        <v>10</v>
      </c>
      <c r="E483" t="s">
        <v>382</v>
      </c>
      <c r="F483" t="s">
        <v>383</v>
      </c>
      <c r="G483" t="s">
        <v>349</v>
      </c>
      <c r="I483" s="37">
        <v>981.99</v>
      </c>
      <c r="L483" s="37">
        <v>981.99</v>
      </c>
      <c r="N483" s="37">
        <v>981.99</v>
      </c>
    </row>
    <row r="484" spans="1:14" x14ac:dyDescent="0.25">
      <c r="A484" s="1">
        <v>46042</v>
      </c>
      <c r="B484">
        <v>3</v>
      </c>
      <c r="C484" t="s">
        <v>541</v>
      </c>
      <c r="D484" t="s">
        <v>10</v>
      </c>
      <c r="E484" t="s">
        <v>384</v>
      </c>
      <c r="F484" t="s">
        <v>385</v>
      </c>
      <c r="G484" t="s">
        <v>349</v>
      </c>
      <c r="I484" s="37">
        <v>801.99</v>
      </c>
      <c r="J484" s="37">
        <v>1.01</v>
      </c>
      <c r="L484" s="37">
        <v>803</v>
      </c>
      <c r="N484" s="37">
        <v>803</v>
      </c>
    </row>
    <row r="485" spans="1:14" x14ac:dyDescent="0.25">
      <c r="A485" s="1">
        <v>46042</v>
      </c>
      <c r="B485">
        <v>3</v>
      </c>
      <c r="C485" t="s">
        <v>541</v>
      </c>
      <c r="D485" t="s">
        <v>10</v>
      </c>
      <c r="E485" t="s">
        <v>386</v>
      </c>
      <c r="F485" t="s">
        <v>387</v>
      </c>
      <c r="G485" t="s">
        <v>349</v>
      </c>
      <c r="I485" s="37">
        <v>801.99</v>
      </c>
      <c r="L485" s="37">
        <v>801.99</v>
      </c>
      <c r="N485" s="37">
        <v>801.99</v>
      </c>
    </row>
    <row r="486" spans="1:14" x14ac:dyDescent="0.25">
      <c r="A486" s="1">
        <v>46042</v>
      </c>
      <c r="B486">
        <v>3</v>
      </c>
      <c r="C486" t="s">
        <v>541</v>
      </c>
      <c r="D486" t="s">
        <v>10</v>
      </c>
      <c r="E486" t="s">
        <v>388</v>
      </c>
      <c r="F486" t="s">
        <v>41</v>
      </c>
      <c r="G486" t="s">
        <v>346</v>
      </c>
      <c r="I486" s="37">
        <v>746.99</v>
      </c>
      <c r="J486" s="37">
        <v>3.01</v>
      </c>
      <c r="L486" s="37">
        <v>750</v>
      </c>
      <c r="N486" s="37">
        <v>750</v>
      </c>
    </row>
    <row r="487" spans="1:14" x14ac:dyDescent="0.25">
      <c r="A487" s="1">
        <v>46042</v>
      </c>
      <c r="B487">
        <v>3</v>
      </c>
      <c r="C487" t="s">
        <v>541</v>
      </c>
      <c r="D487" t="s">
        <v>10</v>
      </c>
      <c r="E487" t="s">
        <v>389</v>
      </c>
      <c r="F487" t="s">
        <v>12</v>
      </c>
      <c r="G487" t="s">
        <v>346</v>
      </c>
      <c r="I487" s="37">
        <v>746.99</v>
      </c>
      <c r="K487" s="37">
        <v>532.15</v>
      </c>
      <c r="L487" s="37">
        <v>214.84</v>
      </c>
      <c r="N487" s="37">
        <v>214.84</v>
      </c>
    </row>
    <row r="488" spans="1:14" x14ac:dyDescent="0.25">
      <c r="A488" s="1">
        <v>46042</v>
      </c>
      <c r="B488">
        <v>3</v>
      </c>
      <c r="C488" t="s">
        <v>541</v>
      </c>
      <c r="D488" t="s">
        <v>10</v>
      </c>
      <c r="E488" t="s">
        <v>390</v>
      </c>
      <c r="F488" t="s">
        <v>12</v>
      </c>
      <c r="G488" t="s">
        <v>346</v>
      </c>
      <c r="I488" s="37">
        <v>746.99</v>
      </c>
      <c r="L488" s="37">
        <v>791.99</v>
      </c>
      <c r="N488" s="37">
        <v>746.99</v>
      </c>
    </row>
    <row r="489" spans="1:14" x14ac:dyDescent="0.25">
      <c r="A489" s="1">
        <v>46042</v>
      </c>
      <c r="B489">
        <v>3</v>
      </c>
      <c r="C489" t="s">
        <v>541</v>
      </c>
      <c r="D489" t="s">
        <v>10</v>
      </c>
      <c r="E489" t="s">
        <v>391</v>
      </c>
      <c r="F489" t="s">
        <v>116</v>
      </c>
      <c r="G489" t="s">
        <v>346</v>
      </c>
      <c r="I489" s="37">
        <v>746.99</v>
      </c>
      <c r="J489" s="37">
        <v>30.01</v>
      </c>
      <c r="L489" s="37">
        <v>777</v>
      </c>
      <c r="N489" s="37">
        <v>777</v>
      </c>
    </row>
    <row r="490" spans="1:14" x14ac:dyDescent="0.25">
      <c r="A490" s="1">
        <v>46042</v>
      </c>
      <c r="B490">
        <v>3</v>
      </c>
      <c r="C490" t="s">
        <v>541</v>
      </c>
      <c r="D490" t="s">
        <v>10</v>
      </c>
      <c r="E490" t="s">
        <v>392</v>
      </c>
      <c r="F490" t="s">
        <v>393</v>
      </c>
      <c r="G490" t="s">
        <v>349</v>
      </c>
      <c r="I490" s="37">
        <v>896.99</v>
      </c>
      <c r="K490" s="37">
        <v>1.99</v>
      </c>
      <c r="L490" s="37">
        <v>895</v>
      </c>
      <c r="N490" s="37">
        <v>895</v>
      </c>
    </row>
    <row r="491" spans="1:14" x14ac:dyDescent="0.25">
      <c r="A491" s="1">
        <v>46042</v>
      </c>
      <c r="B491">
        <v>3</v>
      </c>
      <c r="C491" t="s">
        <v>541</v>
      </c>
      <c r="D491" t="s">
        <v>10</v>
      </c>
      <c r="E491" t="s">
        <v>394</v>
      </c>
      <c r="F491" t="s">
        <v>230</v>
      </c>
      <c r="G491" t="s">
        <v>346</v>
      </c>
      <c r="I491" s="37">
        <v>746.99</v>
      </c>
      <c r="J491" s="37">
        <v>2.0099999999999998</v>
      </c>
      <c r="L491" s="37">
        <v>749</v>
      </c>
      <c r="N491" s="37">
        <v>749</v>
      </c>
    </row>
    <row r="492" spans="1:14" x14ac:dyDescent="0.25">
      <c r="A492" s="1">
        <v>46042</v>
      </c>
      <c r="B492">
        <v>3</v>
      </c>
      <c r="C492" t="s">
        <v>541</v>
      </c>
      <c r="D492" t="s">
        <v>10</v>
      </c>
      <c r="E492" t="s">
        <v>395</v>
      </c>
      <c r="F492" t="s">
        <v>116</v>
      </c>
      <c r="G492" t="s">
        <v>346</v>
      </c>
      <c r="I492" s="37">
        <v>746.99</v>
      </c>
      <c r="K492" s="37">
        <v>321.99</v>
      </c>
      <c r="L492" s="37">
        <v>425</v>
      </c>
      <c r="N492" s="37">
        <v>425</v>
      </c>
    </row>
    <row r="493" spans="1:14" x14ac:dyDescent="0.25">
      <c r="A493" s="1">
        <v>46042</v>
      </c>
      <c r="B493">
        <v>3</v>
      </c>
      <c r="C493" t="s">
        <v>541</v>
      </c>
      <c r="D493" t="s">
        <v>10</v>
      </c>
      <c r="E493" t="s">
        <v>396</v>
      </c>
      <c r="F493" t="s">
        <v>55</v>
      </c>
      <c r="G493" t="s">
        <v>346</v>
      </c>
      <c r="I493" s="37">
        <v>746.99</v>
      </c>
      <c r="J493" s="37">
        <v>30</v>
      </c>
      <c r="L493" s="37">
        <v>776.99</v>
      </c>
      <c r="N493" s="37">
        <v>776.99</v>
      </c>
    </row>
    <row r="494" spans="1:14" x14ac:dyDescent="0.25">
      <c r="A494" s="1">
        <v>46042</v>
      </c>
      <c r="B494">
        <v>3</v>
      </c>
      <c r="C494" t="s">
        <v>541</v>
      </c>
      <c r="D494" t="s">
        <v>10</v>
      </c>
      <c r="E494" t="s">
        <v>509</v>
      </c>
      <c r="F494" t="s">
        <v>12</v>
      </c>
      <c r="G494" t="s">
        <v>346</v>
      </c>
      <c r="I494" s="37">
        <v>746.99</v>
      </c>
      <c r="J494" s="37">
        <v>30</v>
      </c>
      <c r="L494" s="37">
        <v>776.99</v>
      </c>
      <c r="N494" s="37">
        <v>776.99</v>
      </c>
    </row>
    <row r="495" spans="1:14" x14ac:dyDescent="0.25">
      <c r="A495" s="1">
        <v>46042</v>
      </c>
      <c r="B495">
        <v>3</v>
      </c>
      <c r="C495" t="s">
        <v>541</v>
      </c>
      <c r="D495" t="s">
        <v>10</v>
      </c>
      <c r="E495" t="s">
        <v>397</v>
      </c>
      <c r="F495" t="s">
        <v>41</v>
      </c>
      <c r="G495" t="s">
        <v>398</v>
      </c>
      <c r="I495" s="37">
        <v>746.99</v>
      </c>
      <c r="K495" s="37">
        <v>1.99</v>
      </c>
      <c r="L495" s="37">
        <v>745</v>
      </c>
      <c r="N495" s="37">
        <v>745</v>
      </c>
    </row>
    <row r="496" spans="1:14" x14ac:dyDescent="0.25">
      <c r="A496" s="1">
        <v>46042</v>
      </c>
      <c r="B496">
        <v>3</v>
      </c>
      <c r="C496" t="s">
        <v>541</v>
      </c>
      <c r="D496" t="s">
        <v>10</v>
      </c>
      <c r="E496" t="s">
        <v>399</v>
      </c>
      <c r="F496" t="s">
        <v>12</v>
      </c>
      <c r="G496" t="s">
        <v>346</v>
      </c>
      <c r="I496" s="37">
        <v>746.99</v>
      </c>
      <c r="J496" s="37">
        <v>30</v>
      </c>
      <c r="L496" s="37">
        <v>776.99</v>
      </c>
      <c r="N496" s="37">
        <v>776.99</v>
      </c>
    </row>
    <row r="497" spans="1:14" x14ac:dyDescent="0.25">
      <c r="A497" s="1">
        <v>46042</v>
      </c>
      <c r="B497">
        <v>3</v>
      </c>
      <c r="C497" t="s">
        <v>541</v>
      </c>
      <c r="D497" t="s">
        <v>10</v>
      </c>
      <c r="E497" t="s">
        <v>374</v>
      </c>
      <c r="F497" t="s">
        <v>158</v>
      </c>
      <c r="G497" t="s">
        <v>346</v>
      </c>
      <c r="I497" s="37">
        <v>746.99</v>
      </c>
      <c r="K497" s="37">
        <v>0.09</v>
      </c>
      <c r="L497" s="37">
        <v>746.9</v>
      </c>
      <c r="N497" s="37">
        <v>746</v>
      </c>
    </row>
    <row r="498" spans="1:14" x14ac:dyDescent="0.25">
      <c r="A498" s="1">
        <v>46042</v>
      </c>
      <c r="B498">
        <v>3</v>
      </c>
      <c r="C498" t="s">
        <v>541</v>
      </c>
      <c r="D498" t="s">
        <v>10</v>
      </c>
      <c r="E498" t="s">
        <v>400</v>
      </c>
      <c r="F498" t="s">
        <v>158</v>
      </c>
      <c r="G498" t="s">
        <v>346</v>
      </c>
      <c r="I498" s="37">
        <v>746.99</v>
      </c>
      <c r="L498" s="37">
        <v>1241.99</v>
      </c>
    </row>
    <row r="499" spans="1:14" x14ac:dyDescent="0.25">
      <c r="A499" s="1">
        <v>46042</v>
      </c>
      <c r="B499">
        <v>3</v>
      </c>
      <c r="C499" t="s">
        <v>541</v>
      </c>
      <c r="D499" t="s">
        <v>10</v>
      </c>
      <c r="E499" t="s">
        <v>401</v>
      </c>
      <c r="F499" t="s">
        <v>55</v>
      </c>
      <c r="G499" t="s">
        <v>346</v>
      </c>
      <c r="I499" s="37">
        <v>746.99</v>
      </c>
      <c r="J499" s="37">
        <v>30</v>
      </c>
      <c r="L499" s="37">
        <v>776.99</v>
      </c>
      <c r="N499" s="37">
        <v>776.99</v>
      </c>
    </row>
    <row r="500" spans="1:14" x14ac:dyDescent="0.25">
      <c r="A500" s="1">
        <v>46042</v>
      </c>
      <c r="B500">
        <v>3</v>
      </c>
      <c r="C500" t="s">
        <v>541</v>
      </c>
      <c r="D500" t="s">
        <v>10</v>
      </c>
      <c r="E500" t="s">
        <v>402</v>
      </c>
      <c r="F500" t="s">
        <v>403</v>
      </c>
      <c r="G500" t="s">
        <v>346</v>
      </c>
      <c r="I500" s="37">
        <v>1001.99</v>
      </c>
      <c r="K500" s="37">
        <v>1.99</v>
      </c>
      <c r="L500" s="37">
        <v>1000</v>
      </c>
      <c r="N500" s="37">
        <v>1000</v>
      </c>
    </row>
    <row r="501" spans="1:14" x14ac:dyDescent="0.25">
      <c r="A501" s="1">
        <v>46042</v>
      </c>
      <c r="B501">
        <v>3</v>
      </c>
      <c r="C501" t="s">
        <v>541</v>
      </c>
      <c r="D501" t="s">
        <v>10</v>
      </c>
      <c r="E501" t="s">
        <v>404</v>
      </c>
      <c r="F501" t="s">
        <v>55</v>
      </c>
      <c r="G501" t="s">
        <v>346</v>
      </c>
      <c r="I501" s="37">
        <v>746.99</v>
      </c>
      <c r="L501" s="37">
        <v>746.99</v>
      </c>
      <c r="N501" s="37">
        <v>746.99</v>
      </c>
    </row>
    <row r="502" spans="1:14" x14ac:dyDescent="0.25">
      <c r="A502" s="1">
        <v>46042</v>
      </c>
      <c r="B502">
        <v>3</v>
      </c>
      <c r="C502" t="s">
        <v>541</v>
      </c>
      <c r="D502" t="s">
        <v>10</v>
      </c>
      <c r="E502" t="s">
        <v>440</v>
      </c>
      <c r="F502" t="s">
        <v>411</v>
      </c>
      <c r="G502" t="s">
        <v>346</v>
      </c>
      <c r="I502" s="37">
        <v>1251.99</v>
      </c>
      <c r="L502" s="37">
        <v>1296.99</v>
      </c>
      <c r="N502" s="37">
        <v>1251.99</v>
      </c>
    </row>
    <row r="503" spans="1:14" x14ac:dyDescent="0.25">
      <c r="A503" s="1">
        <v>46042</v>
      </c>
      <c r="B503">
        <v>3</v>
      </c>
      <c r="C503" t="s">
        <v>541</v>
      </c>
      <c r="D503" t="s">
        <v>10</v>
      </c>
      <c r="E503" t="s">
        <v>406</v>
      </c>
      <c r="F503" t="s">
        <v>407</v>
      </c>
      <c r="G503" t="s">
        <v>346</v>
      </c>
      <c r="I503" s="37">
        <v>801.99</v>
      </c>
      <c r="L503" s="37">
        <v>801.99</v>
      </c>
      <c r="N503" s="37">
        <v>801.99</v>
      </c>
    </row>
    <row r="504" spans="1:14" x14ac:dyDescent="0.25">
      <c r="A504" s="1">
        <v>46042</v>
      </c>
      <c r="B504">
        <v>3</v>
      </c>
      <c r="C504" t="s">
        <v>541</v>
      </c>
      <c r="D504" t="s">
        <v>10</v>
      </c>
      <c r="E504" t="s">
        <v>510</v>
      </c>
      <c r="F504" t="s">
        <v>55</v>
      </c>
      <c r="G504" t="s">
        <v>346</v>
      </c>
      <c r="I504" s="37">
        <v>746.99</v>
      </c>
      <c r="L504" s="37">
        <v>746.99</v>
      </c>
      <c r="N504" s="37">
        <v>746.99</v>
      </c>
    </row>
    <row r="505" spans="1:14" x14ac:dyDescent="0.25">
      <c r="A505" s="1">
        <v>46042</v>
      </c>
      <c r="B505">
        <v>3</v>
      </c>
      <c r="C505" t="s">
        <v>541</v>
      </c>
      <c r="D505" t="s">
        <v>10</v>
      </c>
      <c r="E505" t="s">
        <v>408</v>
      </c>
      <c r="F505" t="s">
        <v>52</v>
      </c>
      <c r="G505" t="s">
        <v>409</v>
      </c>
      <c r="I505" s="37">
        <v>1251.99</v>
      </c>
      <c r="J505" s="37">
        <v>30.01</v>
      </c>
      <c r="L505" s="37">
        <v>1282</v>
      </c>
      <c r="N505" s="37">
        <v>1282</v>
      </c>
    </row>
    <row r="506" spans="1:14" x14ac:dyDescent="0.25">
      <c r="A506" s="1">
        <v>46042</v>
      </c>
      <c r="B506">
        <v>3</v>
      </c>
      <c r="C506" t="s">
        <v>541</v>
      </c>
      <c r="D506" t="s">
        <v>10</v>
      </c>
      <c r="E506" t="s">
        <v>412</v>
      </c>
      <c r="F506" t="s">
        <v>403</v>
      </c>
      <c r="G506" t="s">
        <v>346</v>
      </c>
      <c r="I506" s="37">
        <v>931.99</v>
      </c>
      <c r="J506" s="37">
        <v>90.01</v>
      </c>
      <c r="L506" s="37">
        <v>1022</v>
      </c>
      <c r="N506" s="37">
        <v>1022</v>
      </c>
    </row>
    <row r="507" spans="1:14" x14ac:dyDescent="0.25">
      <c r="A507" s="1">
        <v>46042</v>
      </c>
      <c r="B507">
        <v>3</v>
      </c>
      <c r="C507" t="s">
        <v>541</v>
      </c>
      <c r="D507" t="s">
        <v>10</v>
      </c>
      <c r="E507" t="s">
        <v>413</v>
      </c>
      <c r="F507" t="s">
        <v>211</v>
      </c>
      <c r="G507" t="s">
        <v>414</v>
      </c>
      <c r="I507" s="37">
        <v>746.99</v>
      </c>
      <c r="J507" s="37">
        <v>30</v>
      </c>
      <c r="L507" s="37">
        <v>776.99</v>
      </c>
      <c r="N507" s="37">
        <v>776.99</v>
      </c>
    </row>
    <row r="508" spans="1:14" x14ac:dyDescent="0.25">
      <c r="A508" s="1">
        <v>46042</v>
      </c>
      <c r="B508">
        <v>3</v>
      </c>
      <c r="C508" t="s">
        <v>541</v>
      </c>
      <c r="D508" t="s">
        <v>10</v>
      </c>
      <c r="E508" t="s">
        <v>415</v>
      </c>
      <c r="F508" t="s">
        <v>416</v>
      </c>
      <c r="G508" t="s">
        <v>370</v>
      </c>
      <c r="I508" s="37">
        <v>931.99</v>
      </c>
      <c r="J508" s="37">
        <v>0.01</v>
      </c>
      <c r="L508" s="37">
        <v>932</v>
      </c>
      <c r="N508" s="37">
        <v>932</v>
      </c>
    </row>
    <row r="509" spans="1:14" x14ac:dyDescent="0.25">
      <c r="A509" s="1">
        <v>46042</v>
      </c>
      <c r="B509">
        <v>3</v>
      </c>
      <c r="C509" t="s">
        <v>541</v>
      </c>
      <c r="D509" t="s">
        <v>10</v>
      </c>
      <c r="E509" t="s">
        <v>521</v>
      </c>
      <c r="F509" t="s">
        <v>522</v>
      </c>
      <c r="G509" t="s">
        <v>523</v>
      </c>
      <c r="I509" s="37">
        <v>931.99</v>
      </c>
      <c r="L509" s="37">
        <v>931.99</v>
      </c>
      <c r="N509" s="37">
        <v>931.99</v>
      </c>
    </row>
    <row r="510" spans="1:14" x14ac:dyDescent="0.25">
      <c r="A510" s="1">
        <v>46042</v>
      </c>
      <c r="B510">
        <v>3</v>
      </c>
      <c r="C510" t="s">
        <v>541</v>
      </c>
      <c r="D510" t="s">
        <v>10</v>
      </c>
      <c r="E510" t="s">
        <v>419</v>
      </c>
      <c r="F510" t="s">
        <v>94</v>
      </c>
      <c r="G510" t="s">
        <v>420</v>
      </c>
      <c r="I510" s="37">
        <v>746.99</v>
      </c>
      <c r="K510" s="37">
        <v>1.99</v>
      </c>
      <c r="L510" s="37">
        <v>745</v>
      </c>
      <c r="N510" s="37">
        <v>745</v>
      </c>
    </row>
    <row r="511" spans="1:14" x14ac:dyDescent="0.25">
      <c r="A511" s="1">
        <v>46042</v>
      </c>
      <c r="B511">
        <v>3</v>
      </c>
      <c r="C511" t="s">
        <v>541</v>
      </c>
      <c r="D511" t="s">
        <v>10</v>
      </c>
      <c r="E511" t="s">
        <v>423</v>
      </c>
      <c r="F511" t="s">
        <v>12</v>
      </c>
      <c r="G511" t="s">
        <v>346</v>
      </c>
      <c r="I511" s="37">
        <v>746.99</v>
      </c>
      <c r="L511" s="37">
        <v>1200</v>
      </c>
      <c r="N511" s="37">
        <v>746.99</v>
      </c>
    </row>
    <row r="512" spans="1:14" x14ac:dyDescent="0.25">
      <c r="A512" s="1">
        <v>46042</v>
      </c>
      <c r="B512">
        <v>3</v>
      </c>
      <c r="C512" t="s">
        <v>541</v>
      </c>
      <c r="D512" t="s">
        <v>10</v>
      </c>
      <c r="E512" t="s">
        <v>424</v>
      </c>
      <c r="F512" t="s">
        <v>12</v>
      </c>
      <c r="G512" t="s">
        <v>346</v>
      </c>
      <c r="I512" s="37">
        <v>746.99</v>
      </c>
      <c r="J512" s="37">
        <v>30.01</v>
      </c>
      <c r="L512" s="37">
        <v>777</v>
      </c>
      <c r="N512" s="37">
        <v>777</v>
      </c>
    </row>
    <row r="513" spans="1:14" x14ac:dyDescent="0.25">
      <c r="A513" s="1">
        <v>46042</v>
      </c>
      <c r="B513">
        <v>3</v>
      </c>
      <c r="C513" t="s">
        <v>542</v>
      </c>
      <c r="D513" t="s">
        <v>10</v>
      </c>
      <c r="E513" t="s">
        <v>425</v>
      </c>
      <c r="F513" t="s">
        <v>426</v>
      </c>
      <c r="G513" t="s">
        <v>349</v>
      </c>
      <c r="I513" s="37">
        <v>881.99</v>
      </c>
      <c r="L513" s="37">
        <v>1376.99</v>
      </c>
      <c r="N513" s="37">
        <v>881.99</v>
      </c>
    </row>
    <row r="514" spans="1:14" x14ac:dyDescent="0.25">
      <c r="A514" s="1">
        <v>46042</v>
      </c>
      <c r="B514">
        <v>3</v>
      </c>
      <c r="C514" t="s">
        <v>541</v>
      </c>
      <c r="D514" t="s">
        <v>10</v>
      </c>
      <c r="E514" t="s">
        <v>427</v>
      </c>
      <c r="F514" t="s">
        <v>116</v>
      </c>
      <c r="G514" t="s">
        <v>363</v>
      </c>
      <c r="I514" s="37">
        <v>746.99</v>
      </c>
      <c r="K514" s="37">
        <v>106.43</v>
      </c>
      <c r="L514" s="37">
        <v>640.55999999999995</v>
      </c>
      <c r="M514" s="37">
        <v>20</v>
      </c>
      <c r="N514" s="37">
        <v>640.55999999999995</v>
      </c>
    </row>
    <row r="515" spans="1:14" x14ac:dyDescent="0.25">
      <c r="A515" s="1">
        <v>46042</v>
      </c>
      <c r="B515">
        <v>3</v>
      </c>
      <c r="C515" t="s">
        <v>541</v>
      </c>
      <c r="D515" t="s">
        <v>10</v>
      </c>
      <c r="E515" t="s">
        <v>428</v>
      </c>
      <c r="F515" t="s">
        <v>69</v>
      </c>
      <c r="G515" t="s">
        <v>378</v>
      </c>
      <c r="I515" s="37">
        <v>746.99</v>
      </c>
      <c r="K515" s="37">
        <v>1.99</v>
      </c>
      <c r="L515" s="37">
        <v>745</v>
      </c>
      <c r="N515" s="37">
        <v>745</v>
      </c>
    </row>
    <row r="516" spans="1:14" x14ac:dyDescent="0.25">
      <c r="A516" s="1">
        <v>46042</v>
      </c>
      <c r="B516">
        <v>3</v>
      </c>
      <c r="C516" t="s">
        <v>541</v>
      </c>
      <c r="D516" t="s">
        <v>10</v>
      </c>
      <c r="E516" t="s">
        <v>429</v>
      </c>
      <c r="F516" t="s">
        <v>158</v>
      </c>
      <c r="G516" t="s">
        <v>346</v>
      </c>
      <c r="I516" s="37">
        <v>746.99</v>
      </c>
      <c r="K516" s="37">
        <v>1.99</v>
      </c>
      <c r="L516" s="37">
        <v>745</v>
      </c>
      <c r="N516" s="37">
        <v>745</v>
      </c>
    </row>
    <row r="517" spans="1:14" x14ac:dyDescent="0.25">
      <c r="A517" s="1">
        <v>46042</v>
      </c>
      <c r="B517">
        <v>3</v>
      </c>
      <c r="C517" t="s">
        <v>541</v>
      </c>
      <c r="D517" t="s">
        <v>10</v>
      </c>
      <c r="E517" t="s">
        <v>430</v>
      </c>
      <c r="F517" t="s">
        <v>158</v>
      </c>
      <c r="G517" t="s">
        <v>346</v>
      </c>
      <c r="I517" s="37">
        <v>746.99</v>
      </c>
      <c r="J517" s="37">
        <v>30</v>
      </c>
      <c r="L517" s="37">
        <v>776.99</v>
      </c>
      <c r="N517" s="37">
        <v>776.99</v>
      </c>
    </row>
    <row r="518" spans="1:14" x14ac:dyDescent="0.25">
      <c r="A518" s="1">
        <v>46042</v>
      </c>
      <c r="B518">
        <v>3</v>
      </c>
      <c r="C518" t="s">
        <v>541</v>
      </c>
      <c r="D518" t="s">
        <v>10</v>
      </c>
      <c r="E518" t="s">
        <v>431</v>
      </c>
      <c r="F518" t="s">
        <v>158</v>
      </c>
      <c r="G518" t="s">
        <v>346</v>
      </c>
      <c r="I518" s="37">
        <v>746.99</v>
      </c>
      <c r="K518" s="37">
        <v>1.99</v>
      </c>
      <c r="L518" s="37">
        <v>745</v>
      </c>
      <c r="N518" s="37">
        <v>745</v>
      </c>
    </row>
    <row r="519" spans="1:14" x14ac:dyDescent="0.25">
      <c r="A519" s="1">
        <v>46042</v>
      </c>
      <c r="B519">
        <v>3</v>
      </c>
      <c r="C519" t="s">
        <v>541</v>
      </c>
      <c r="D519" t="s">
        <v>10</v>
      </c>
      <c r="E519" t="s">
        <v>432</v>
      </c>
      <c r="F519" t="s">
        <v>55</v>
      </c>
      <c r="G519" t="s">
        <v>433</v>
      </c>
      <c r="I519" s="37">
        <v>746.99</v>
      </c>
      <c r="J519" s="37">
        <v>0.01</v>
      </c>
      <c r="L519" s="37">
        <v>747</v>
      </c>
      <c r="N519" s="37">
        <v>747</v>
      </c>
    </row>
    <row r="520" spans="1:14" x14ac:dyDescent="0.25">
      <c r="A520" s="1">
        <v>46042</v>
      </c>
      <c r="B520">
        <v>3</v>
      </c>
      <c r="C520" t="s">
        <v>541</v>
      </c>
      <c r="D520" t="s">
        <v>10</v>
      </c>
      <c r="E520" t="s">
        <v>434</v>
      </c>
      <c r="F520" t="s">
        <v>55</v>
      </c>
      <c r="G520" t="s">
        <v>346</v>
      </c>
      <c r="I520" s="37">
        <v>746.99</v>
      </c>
      <c r="L520" s="37">
        <v>746.99</v>
      </c>
      <c r="N520" s="37">
        <v>746.99</v>
      </c>
    </row>
    <row r="521" spans="1:14" x14ac:dyDescent="0.25">
      <c r="A521" s="1">
        <v>46042</v>
      </c>
      <c r="B521">
        <v>3</v>
      </c>
      <c r="C521" t="s">
        <v>541</v>
      </c>
      <c r="D521" t="s">
        <v>10</v>
      </c>
      <c r="E521" t="s">
        <v>435</v>
      </c>
      <c r="F521" t="s">
        <v>41</v>
      </c>
      <c r="G521" t="s">
        <v>398</v>
      </c>
      <c r="I521" s="37">
        <v>746.99</v>
      </c>
      <c r="J521" s="37">
        <v>30</v>
      </c>
      <c r="L521" s="37">
        <v>776.99</v>
      </c>
      <c r="N521" s="37">
        <v>776.99</v>
      </c>
    </row>
    <row r="522" spans="1:14" x14ac:dyDescent="0.25">
      <c r="A522" s="1">
        <v>46042</v>
      </c>
      <c r="B522">
        <v>3</v>
      </c>
      <c r="C522" t="s">
        <v>541</v>
      </c>
      <c r="D522" t="s">
        <v>10</v>
      </c>
      <c r="E522" t="s">
        <v>436</v>
      </c>
      <c r="F522" t="s">
        <v>116</v>
      </c>
      <c r="G522" t="s">
        <v>346</v>
      </c>
      <c r="I522" s="37">
        <v>746.99</v>
      </c>
      <c r="J522" s="37">
        <v>8.75</v>
      </c>
      <c r="L522" s="37">
        <v>755.74</v>
      </c>
      <c r="N522" s="37">
        <v>755.74</v>
      </c>
    </row>
    <row r="523" spans="1:14" x14ac:dyDescent="0.25">
      <c r="A523" s="1">
        <v>46042</v>
      </c>
      <c r="B523">
        <v>3</v>
      </c>
      <c r="C523" t="s">
        <v>541</v>
      </c>
      <c r="D523" t="s">
        <v>10</v>
      </c>
      <c r="E523" t="s">
        <v>506</v>
      </c>
      <c r="F523" t="s">
        <v>158</v>
      </c>
      <c r="G523" t="s">
        <v>346</v>
      </c>
      <c r="I523" s="37">
        <v>746.99</v>
      </c>
      <c r="J523" s="37">
        <v>0.01</v>
      </c>
      <c r="L523" s="37">
        <v>747</v>
      </c>
      <c r="N523" s="37">
        <v>747</v>
      </c>
    </row>
    <row r="524" spans="1:14" x14ac:dyDescent="0.25">
      <c r="A524" s="1">
        <v>46042</v>
      </c>
      <c r="B524">
        <v>3</v>
      </c>
      <c r="C524" t="s">
        <v>541</v>
      </c>
      <c r="D524" t="s">
        <v>10</v>
      </c>
      <c r="E524" t="s">
        <v>437</v>
      </c>
      <c r="F524" t="s">
        <v>12</v>
      </c>
      <c r="G524" t="s">
        <v>346</v>
      </c>
      <c r="I524" s="37">
        <v>746.99</v>
      </c>
      <c r="K524" s="37">
        <v>1.99</v>
      </c>
      <c r="L524" s="37">
        <v>745</v>
      </c>
      <c r="N524" s="37">
        <v>745</v>
      </c>
    </row>
    <row r="525" spans="1:14" x14ac:dyDescent="0.25">
      <c r="A525" s="1">
        <v>46042</v>
      </c>
      <c r="B525">
        <v>3</v>
      </c>
      <c r="C525" t="s">
        <v>541</v>
      </c>
      <c r="D525" t="s">
        <v>10</v>
      </c>
      <c r="E525" t="s">
        <v>438</v>
      </c>
      <c r="F525" t="s">
        <v>52</v>
      </c>
      <c r="G525" t="s">
        <v>359</v>
      </c>
      <c r="I525" s="37">
        <v>1251.99</v>
      </c>
      <c r="J525" s="37">
        <v>30</v>
      </c>
      <c r="L525" s="37">
        <v>1281.99</v>
      </c>
      <c r="N525" s="37">
        <v>1281.99</v>
      </c>
    </row>
    <row r="526" spans="1:14" x14ac:dyDescent="0.25">
      <c r="A526" s="1">
        <v>46042</v>
      </c>
      <c r="B526">
        <v>3</v>
      </c>
      <c r="C526" t="s">
        <v>541</v>
      </c>
      <c r="D526" t="s">
        <v>10</v>
      </c>
      <c r="E526" t="s">
        <v>439</v>
      </c>
      <c r="F526" t="s">
        <v>52</v>
      </c>
      <c r="G526" t="s">
        <v>346</v>
      </c>
      <c r="I526" s="37">
        <v>1251.99</v>
      </c>
      <c r="L526" s="37">
        <v>1251.99</v>
      </c>
      <c r="N526" s="37">
        <v>1251.99</v>
      </c>
    </row>
    <row r="527" spans="1:14" x14ac:dyDescent="0.25">
      <c r="A527" s="1">
        <v>46042</v>
      </c>
      <c r="B527">
        <v>3</v>
      </c>
      <c r="C527" t="s">
        <v>541</v>
      </c>
      <c r="D527" t="s">
        <v>10</v>
      </c>
      <c r="E527" t="s">
        <v>441</v>
      </c>
      <c r="F527" t="s">
        <v>52</v>
      </c>
      <c r="G527" t="s">
        <v>346</v>
      </c>
      <c r="I527" s="37">
        <v>1251.99</v>
      </c>
      <c r="J527" s="37">
        <v>30</v>
      </c>
      <c r="L527" s="37">
        <v>1281.99</v>
      </c>
      <c r="N527" s="37">
        <v>1281.99</v>
      </c>
    </row>
    <row r="528" spans="1:14" x14ac:dyDescent="0.25">
      <c r="A528" s="1">
        <v>46042</v>
      </c>
      <c r="B528">
        <v>3</v>
      </c>
      <c r="C528" t="s">
        <v>541</v>
      </c>
      <c r="D528" t="s">
        <v>10</v>
      </c>
      <c r="E528" t="s">
        <v>442</v>
      </c>
      <c r="F528" t="s">
        <v>52</v>
      </c>
      <c r="G528" t="s">
        <v>346</v>
      </c>
      <c r="I528" s="37">
        <v>1251.99</v>
      </c>
      <c r="L528" s="37">
        <v>1251.99</v>
      </c>
      <c r="N528" s="37">
        <v>1250</v>
      </c>
    </row>
    <row r="529" spans="1:14" x14ac:dyDescent="0.25">
      <c r="A529" s="1">
        <v>46042</v>
      </c>
      <c r="B529">
        <v>3</v>
      </c>
      <c r="C529" t="s">
        <v>541</v>
      </c>
      <c r="D529" t="s">
        <v>10</v>
      </c>
      <c r="E529" t="s">
        <v>443</v>
      </c>
      <c r="F529" t="s">
        <v>52</v>
      </c>
      <c r="G529" t="s">
        <v>346</v>
      </c>
      <c r="I529" s="37">
        <v>1251.99</v>
      </c>
      <c r="L529" s="37">
        <v>1251.99</v>
      </c>
      <c r="N529" s="37">
        <v>1251.99</v>
      </c>
    </row>
    <row r="530" spans="1:14" x14ac:dyDescent="0.25">
      <c r="A530" s="1">
        <v>46042</v>
      </c>
      <c r="B530">
        <v>3</v>
      </c>
      <c r="C530" t="s">
        <v>541</v>
      </c>
      <c r="D530" t="s">
        <v>10</v>
      </c>
      <c r="E530" t="s">
        <v>444</v>
      </c>
      <c r="F530" t="s">
        <v>52</v>
      </c>
      <c r="G530" t="s">
        <v>409</v>
      </c>
      <c r="I530" s="37">
        <v>1251.99</v>
      </c>
      <c r="J530" s="37">
        <v>28.01</v>
      </c>
      <c r="L530" s="37">
        <v>1280</v>
      </c>
      <c r="N530" s="37">
        <v>1280</v>
      </c>
    </row>
    <row r="531" spans="1:14" x14ac:dyDescent="0.25">
      <c r="A531" s="1">
        <v>46042</v>
      </c>
      <c r="B531">
        <v>3</v>
      </c>
      <c r="C531" t="s">
        <v>541</v>
      </c>
      <c r="D531" t="s">
        <v>10</v>
      </c>
      <c r="E531" t="s">
        <v>445</v>
      </c>
      <c r="F531" t="s">
        <v>52</v>
      </c>
      <c r="G531" t="s">
        <v>346</v>
      </c>
      <c r="I531" s="37">
        <v>1251.99</v>
      </c>
      <c r="K531" s="37">
        <v>1.99</v>
      </c>
      <c r="L531" s="37">
        <v>1250</v>
      </c>
      <c r="N531" s="37">
        <v>1250</v>
      </c>
    </row>
    <row r="532" spans="1:14" x14ac:dyDescent="0.25">
      <c r="A532" s="1">
        <v>46042</v>
      </c>
      <c r="B532">
        <v>3</v>
      </c>
      <c r="C532" t="s">
        <v>541</v>
      </c>
      <c r="D532" t="s">
        <v>10</v>
      </c>
      <c r="E532" t="s">
        <v>507</v>
      </c>
      <c r="F532" t="s">
        <v>403</v>
      </c>
      <c r="G532" t="s">
        <v>346</v>
      </c>
      <c r="I532" s="37">
        <v>1000</v>
      </c>
      <c r="J532" s="37">
        <v>60</v>
      </c>
      <c r="L532" s="37">
        <v>1060</v>
      </c>
      <c r="N532" s="37">
        <v>1060</v>
      </c>
    </row>
    <row r="533" spans="1:14" x14ac:dyDescent="0.25">
      <c r="A533" s="1">
        <v>46042</v>
      </c>
      <c r="B533">
        <v>3</v>
      </c>
      <c r="C533" t="s">
        <v>541</v>
      </c>
      <c r="D533" t="s">
        <v>10</v>
      </c>
      <c r="E533" t="s">
        <v>446</v>
      </c>
      <c r="F533" t="s">
        <v>447</v>
      </c>
      <c r="G533" t="s">
        <v>349</v>
      </c>
      <c r="I533" s="37">
        <v>851.99</v>
      </c>
      <c r="L533" s="37">
        <v>851.99</v>
      </c>
      <c r="N533" s="37">
        <v>851.99</v>
      </c>
    </row>
    <row r="534" spans="1:14" x14ac:dyDescent="0.25">
      <c r="A534" s="1">
        <v>46042</v>
      </c>
      <c r="B534">
        <v>3</v>
      </c>
      <c r="C534" t="s">
        <v>541</v>
      </c>
      <c r="D534" t="s">
        <v>10</v>
      </c>
      <c r="E534" t="s">
        <v>448</v>
      </c>
      <c r="F534" t="s">
        <v>255</v>
      </c>
      <c r="G534" t="s">
        <v>409</v>
      </c>
      <c r="I534" s="37">
        <v>801.99</v>
      </c>
      <c r="J534" s="37">
        <v>28.01</v>
      </c>
      <c r="L534" s="37">
        <v>830</v>
      </c>
      <c r="N534" s="37">
        <v>830</v>
      </c>
    </row>
    <row r="535" spans="1:14" x14ac:dyDescent="0.25">
      <c r="A535" s="1">
        <v>46042</v>
      </c>
      <c r="B535">
        <v>3</v>
      </c>
      <c r="C535" t="s">
        <v>541</v>
      </c>
      <c r="D535" t="s">
        <v>10</v>
      </c>
      <c r="E535" t="s">
        <v>494</v>
      </c>
      <c r="F535" t="s">
        <v>69</v>
      </c>
      <c r="G535" t="s">
        <v>349</v>
      </c>
      <c r="I535" s="37">
        <v>801.99</v>
      </c>
      <c r="L535" s="37">
        <v>801.99</v>
      </c>
      <c r="N535" s="37">
        <v>801.99</v>
      </c>
    </row>
    <row r="536" spans="1:14" x14ac:dyDescent="0.25">
      <c r="A536" s="1">
        <v>46042</v>
      </c>
      <c r="B536">
        <v>3</v>
      </c>
      <c r="C536" t="s">
        <v>541</v>
      </c>
      <c r="D536" t="s">
        <v>10</v>
      </c>
      <c r="E536" t="s">
        <v>449</v>
      </c>
      <c r="F536" t="s">
        <v>41</v>
      </c>
      <c r="G536" t="s">
        <v>349</v>
      </c>
      <c r="I536" s="37">
        <v>746.99</v>
      </c>
      <c r="L536" s="37">
        <v>791.99</v>
      </c>
      <c r="N536" s="37">
        <v>746.99</v>
      </c>
    </row>
    <row r="537" spans="1:14" x14ac:dyDescent="0.25">
      <c r="A537" s="1">
        <v>46042</v>
      </c>
      <c r="B537">
        <v>3</v>
      </c>
      <c r="C537" t="s">
        <v>541</v>
      </c>
      <c r="D537" t="s">
        <v>10</v>
      </c>
      <c r="E537" t="s">
        <v>501</v>
      </c>
      <c r="F537" t="s">
        <v>12</v>
      </c>
      <c r="G537" t="s">
        <v>346</v>
      </c>
      <c r="I537" s="37">
        <v>746.99</v>
      </c>
      <c r="J537" s="37">
        <v>31</v>
      </c>
      <c r="L537" s="37">
        <v>777.99</v>
      </c>
      <c r="N537" s="37">
        <v>777.99</v>
      </c>
    </row>
    <row r="538" spans="1:14" x14ac:dyDescent="0.25">
      <c r="A538" s="1">
        <v>46042</v>
      </c>
      <c r="B538">
        <v>3</v>
      </c>
      <c r="C538" t="s">
        <v>541</v>
      </c>
      <c r="D538" t="s">
        <v>10</v>
      </c>
      <c r="E538" t="s">
        <v>450</v>
      </c>
      <c r="F538" t="s">
        <v>451</v>
      </c>
      <c r="G538" t="s">
        <v>346</v>
      </c>
      <c r="I538" s="37">
        <v>1351.99</v>
      </c>
      <c r="J538" s="37">
        <v>30</v>
      </c>
      <c r="K538" s="37">
        <v>0.99</v>
      </c>
      <c r="L538" s="37">
        <v>1381</v>
      </c>
      <c r="N538" s="37">
        <v>1381</v>
      </c>
    </row>
    <row r="539" spans="1:14" x14ac:dyDescent="0.25">
      <c r="A539" s="1">
        <v>46042</v>
      </c>
      <c r="B539">
        <v>3</v>
      </c>
      <c r="C539" t="s">
        <v>541</v>
      </c>
      <c r="D539" t="s">
        <v>10</v>
      </c>
      <c r="E539" t="s">
        <v>452</v>
      </c>
      <c r="F539" t="s">
        <v>12</v>
      </c>
      <c r="G539" t="s">
        <v>346</v>
      </c>
      <c r="I539" s="37">
        <v>746.99</v>
      </c>
      <c r="J539" s="37">
        <v>120</v>
      </c>
      <c r="L539" s="37">
        <v>866.99</v>
      </c>
      <c r="N539" s="37">
        <v>866.99</v>
      </c>
    </row>
    <row r="540" spans="1:14" x14ac:dyDescent="0.25">
      <c r="A540" s="1">
        <v>46042</v>
      </c>
      <c r="B540">
        <v>3</v>
      </c>
      <c r="C540" t="s">
        <v>541</v>
      </c>
      <c r="D540" t="s">
        <v>10</v>
      </c>
      <c r="E540" t="s">
        <v>453</v>
      </c>
      <c r="F540" t="s">
        <v>387</v>
      </c>
      <c r="G540" t="s">
        <v>349</v>
      </c>
      <c r="I540" s="37">
        <v>801.99</v>
      </c>
      <c r="L540" s="37">
        <v>801.99</v>
      </c>
      <c r="M540" s="37">
        <v>19.88</v>
      </c>
      <c r="N540" s="37">
        <v>801.99</v>
      </c>
    </row>
    <row r="541" spans="1:14" x14ac:dyDescent="0.25">
      <c r="A541" s="1">
        <v>46042</v>
      </c>
      <c r="B541">
        <v>3</v>
      </c>
      <c r="C541" t="s">
        <v>541</v>
      </c>
      <c r="D541" t="s">
        <v>10</v>
      </c>
      <c r="E541" t="s">
        <v>454</v>
      </c>
      <c r="F541" t="s">
        <v>455</v>
      </c>
      <c r="G541" t="s">
        <v>349</v>
      </c>
      <c r="I541" s="37">
        <v>831.99</v>
      </c>
      <c r="J541" s="37">
        <v>30.01</v>
      </c>
      <c r="L541" s="37">
        <v>862</v>
      </c>
      <c r="N541" s="37">
        <v>862</v>
      </c>
    </row>
    <row r="542" spans="1:14" x14ac:dyDescent="0.25">
      <c r="A542" s="1">
        <v>46042</v>
      </c>
      <c r="B542">
        <v>3</v>
      </c>
      <c r="C542" t="s">
        <v>541</v>
      </c>
      <c r="D542" t="s">
        <v>10</v>
      </c>
      <c r="E542" t="s">
        <v>456</v>
      </c>
      <c r="F542" t="s">
        <v>41</v>
      </c>
      <c r="G542" t="s">
        <v>457</v>
      </c>
      <c r="I542" s="37">
        <v>746.99</v>
      </c>
      <c r="K542" s="37">
        <v>106.99</v>
      </c>
      <c r="L542" s="37">
        <v>640</v>
      </c>
      <c r="N542" s="37">
        <v>640</v>
      </c>
    </row>
    <row r="543" spans="1:14" x14ac:dyDescent="0.25">
      <c r="A543" s="1">
        <v>46042</v>
      </c>
      <c r="B543">
        <v>3</v>
      </c>
      <c r="C543" t="s">
        <v>541</v>
      </c>
      <c r="D543" t="s">
        <v>10</v>
      </c>
      <c r="E543" t="s">
        <v>458</v>
      </c>
      <c r="F543" t="s">
        <v>41</v>
      </c>
      <c r="G543" t="s">
        <v>380</v>
      </c>
      <c r="I543" s="37">
        <v>746.99</v>
      </c>
      <c r="K543" s="37">
        <v>1.99</v>
      </c>
      <c r="L543" s="37">
        <v>745</v>
      </c>
      <c r="N543" s="37">
        <v>745</v>
      </c>
    </row>
    <row r="544" spans="1:14" x14ac:dyDescent="0.25">
      <c r="A544" s="1">
        <v>46042</v>
      </c>
      <c r="B544">
        <v>3</v>
      </c>
      <c r="C544" t="s">
        <v>541</v>
      </c>
      <c r="D544" t="s">
        <v>10</v>
      </c>
      <c r="E544" t="s">
        <v>459</v>
      </c>
      <c r="F544" t="s">
        <v>426</v>
      </c>
      <c r="G544" t="s">
        <v>363</v>
      </c>
      <c r="I544" s="37">
        <v>746.99</v>
      </c>
      <c r="L544" s="37">
        <v>791.99</v>
      </c>
      <c r="N544" s="37">
        <v>746.99</v>
      </c>
    </row>
    <row r="545" spans="1:14" x14ac:dyDescent="0.25">
      <c r="A545" s="1">
        <v>46042</v>
      </c>
      <c r="B545">
        <v>3</v>
      </c>
      <c r="C545" t="s">
        <v>541</v>
      </c>
      <c r="D545" t="s">
        <v>10</v>
      </c>
      <c r="E545" t="s">
        <v>460</v>
      </c>
      <c r="F545" t="s">
        <v>41</v>
      </c>
      <c r="G545" t="s">
        <v>346</v>
      </c>
      <c r="I545" s="37">
        <v>746.99</v>
      </c>
      <c r="K545" s="37">
        <v>146.99</v>
      </c>
      <c r="L545" s="37">
        <v>600</v>
      </c>
      <c r="N545" s="37">
        <v>600</v>
      </c>
    </row>
    <row r="546" spans="1:14" x14ac:dyDescent="0.25">
      <c r="A546" s="1">
        <v>46042</v>
      </c>
      <c r="B546">
        <v>3</v>
      </c>
      <c r="C546" t="s">
        <v>541</v>
      </c>
      <c r="D546" t="s">
        <v>10</v>
      </c>
      <c r="E546" t="s">
        <v>461</v>
      </c>
      <c r="F546" t="s">
        <v>41</v>
      </c>
      <c r="G546" t="s">
        <v>462</v>
      </c>
      <c r="I546" s="37">
        <v>746.99</v>
      </c>
      <c r="L546" s="37">
        <v>791.99</v>
      </c>
      <c r="N546" s="37">
        <v>746.99</v>
      </c>
    </row>
    <row r="547" spans="1:14" x14ac:dyDescent="0.25">
      <c r="A547" s="1">
        <v>46042</v>
      </c>
      <c r="B547">
        <v>3</v>
      </c>
      <c r="C547" t="s">
        <v>541</v>
      </c>
      <c r="D547" t="s">
        <v>10</v>
      </c>
      <c r="E547" t="s">
        <v>463</v>
      </c>
      <c r="F547" t="s">
        <v>158</v>
      </c>
      <c r="G547" t="s">
        <v>346</v>
      </c>
      <c r="I547" s="37">
        <v>746.99</v>
      </c>
      <c r="K547" s="37">
        <v>1.99</v>
      </c>
      <c r="L547" s="37">
        <v>745</v>
      </c>
      <c r="N547" s="37">
        <v>745</v>
      </c>
    </row>
    <row r="548" spans="1:14" x14ac:dyDescent="0.25">
      <c r="A548" s="1">
        <v>46042</v>
      </c>
      <c r="B548">
        <v>3</v>
      </c>
      <c r="C548" t="s">
        <v>541</v>
      </c>
      <c r="D548" t="s">
        <v>10</v>
      </c>
      <c r="E548" t="s">
        <v>464</v>
      </c>
      <c r="F548" t="s">
        <v>55</v>
      </c>
      <c r="G548" t="s">
        <v>346</v>
      </c>
      <c r="I548" s="37">
        <v>746.99</v>
      </c>
      <c r="J548" s="37">
        <v>0.87</v>
      </c>
      <c r="K548" s="37">
        <v>212.86</v>
      </c>
      <c r="L548" s="37">
        <v>535</v>
      </c>
      <c r="N548" s="37">
        <v>535</v>
      </c>
    </row>
    <row r="549" spans="1:14" x14ac:dyDescent="0.25">
      <c r="A549" s="1">
        <v>46042</v>
      </c>
      <c r="B549">
        <v>3</v>
      </c>
      <c r="C549" t="s">
        <v>541</v>
      </c>
      <c r="D549" t="s">
        <v>10</v>
      </c>
      <c r="E549" t="s">
        <v>465</v>
      </c>
      <c r="F549" t="s">
        <v>41</v>
      </c>
      <c r="G549" t="s">
        <v>346</v>
      </c>
      <c r="I549" s="37">
        <v>746.99</v>
      </c>
      <c r="K549" s="37">
        <v>106.43</v>
      </c>
      <c r="L549" s="37">
        <v>640.55999999999995</v>
      </c>
      <c r="N549" s="37">
        <v>640.55999999999995</v>
      </c>
    </row>
    <row r="550" spans="1:14" x14ac:dyDescent="0.25">
      <c r="A550" s="1">
        <v>46042</v>
      </c>
      <c r="B550">
        <v>3</v>
      </c>
      <c r="C550" t="s">
        <v>541</v>
      </c>
      <c r="D550" t="s">
        <v>10</v>
      </c>
      <c r="E550" t="s">
        <v>466</v>
      </c>
      <c r="F550" t="s">
        <v>33</v>
      </c>
      <c r="G550" t="s">
        <v>467</v>
      </c>
      <c r="I550" s="37">
        <v>851.99</v>
      </c>
      <c r="J550" s="37">
        <v>30.01</v>
      </c>
      <c r="L550" s="37">
        <v>882</v>
      </c>
      <c r="M550" s="37">
        <v>654.86</v>
      </c>
      <c r="N550" s="37">
        <v>882</v>
      </c>
    </row>
    <row r="551" spans="1:14" x14ac:dyDescent="0.25">
      <c r="A551" s="1">
        <v>46042</v>
      </c>
      <c r="B551">
        <v>3</v>
      </c>
      <c r="C551" t="s">
        <v>541</v>
      </c>
      <c r="D551" t="s">
        <v>10</v>
      </c>
      <c r="E551" t="s">
        <v>468</v>
      </c>
      <c r="F551" t="s">
        <v>469</v>
      </c>
      <c r="G551" t="s">
        <v>346</v>
      </c>
      <c r="I551" s="37">
        <v>1000</v>
      </c>
      <c r="L551" s="37">
        <v>1000</v>
      </c>
      <c r="N551" s="37">
        <v>1000</v>
      </c>
    </row>
    <row r="552" spans="1:14" x14ac:dyDescent="0.25">
      <c r="A552" s="1">
        <v>46042</v>
      </c>
      <c r="B552">
        <v>3</v>
      </c>
      <c r="C552" t="s">
        <v>541</v>
      </c>
      <c r="D552" t="s">
        <v>10</v>
      </c>
      <c r="E552" t="s">
        <v>470</v>
      </c>
      <c r="F552" t="s">
        <v>55</v>
      </c>
      <c r="G552" t="s">
        <v>346</v>
      </c>
      <c r="I552" s="37">
        <v>746.99</v>
      </c>
      <c r="J552" s="37">
        <v>88.01</v>
      </c>
      <c r="L552" s="37">
        <v>835</v>
      </c>
      <c r="N552" s="37">
        <v>835</v>
      </c>
    </row>
    <row r="553" spans="1:14" x14ac:dyDescent="0.25">
      <c r="A553" s="1">
        <v>46042</v>
      </c>
      <c r="B553">
        <v>3</v>
      </c>
      <c r="C553" t="s">
        <v>541</v>
      </c>
      <c r="D553" t="s">
        <v>10</v>
      </c>
      <c r="E553" t="s">
        <v>471</v>
      </c>
      <c r="F553" t="s">
        <v>472</v>
      </c>
      <c r="G553" t="s">
        <v>346</v>
      </c>
      <c r="I553" s="37">
        <v>746.99</v>
      </c>
      <c r="J553" s="37">
        <v>30.01</v>
      </c>
      <c r="L553" s="37">
        <v>777</v>
      </c>
      <c r="N553" s="37">
        <v>777</v>
      </c>
    </row>
    <row r="554" spans="1:14" x14ac:dyDescent="0.25">
      <c r="A554" s="1">
        <v>46042</v>
      </c>
      <c r="B554">
        <v>3</v>
      </c>
      <c r="C554" t="s">
        <v>541</v>
      </c>
      <c r="D554" t="s">
        <v>10</v>
      </c>
      <c r="E554" t="s">
        <v>473</v>
      </c>
      <c r="F554" t="s">
        <v>158</v>
      </c>
      <c r="G554" t="s">
        <v>346</v>
      </c>
      <c r="I554" s="37">
        <v>746.99</v>
      </c>
      <c r="J554" s="37">
        <v>90.78</v>
      </c>
      <c r="L554" s="37">
        <v>837.77</v>
      </c>
      <c r="N554" s="37">
        <v>837.77</v>
      </c>
    </row>
    <row r="555" spans="1:14" x14ac:dyDescent="0.25">
      <c r="A555" s="1">
        <v>46042</v>
      </c>
      <c r="B555">
        <v>3</v>
      </c>
      <c r="C555" t="s">
        <v>541</v>
      </c>
      <c r="D555" t="s">
        <v>10</v>
      </c>
      <c r="E555" t="s">
        <v>474</v>
      </c>
      <c r="F555" t="s">
        <v>230</v>
      </c>
      <c r="G555" t="s">
        <v>467</v>
      </c>
      <c r="I555" s="37">
        <v>746.99</v>
      </c>
      <c r="J555" s="37">
        <v>30</v>
      </c>
      <c r="L555" s="37">
        <v>776.99</v>
      </c>
      <c r="M555" s="37">
        <v>396.97</v>
      </c>
      <c r="N555" s="37">
        <v>776.99</v>
      </c>
    </row>
    <row r="556" spans="1:14" x14ac:dyDescent="0.25">
      <c r="A556" s="1">
        <v>46042</v>
      </c>
      <c r="B556">
        <v>3</v>
      </c>
      <c r="C556" t="s">
        <v>541</v>
      </c>
      <c r="D556" t="s">
        <v>10</v>
      </c>
      <c r="E556" t="s">
        <v>475</v>
      </c>
      <c r="F556" t="s">
        <v>37</v>
      </c>
      <c r="G556" t="s">
        <v>467</v>
      </c>
      <c r="I556" s="37">
        <v>746.99</v>
      </c>
      <c r="J556" s="37">
        <v>30.01</v>
      </c>
      <c r="L556" s="37">
        <v>777</v>
      </c>
      <c r="N556" s="37">
        <v>777</v>
      </c>
    </row>
    <row r="557" spans="1:14" x14ac:dyDescent="0.25">
      <c r="A557" s="1">
        <v>46042</v>
      </c>
      <c r="B557">
        <v>3</v>
      </c>
      <c r="C557" t="s">
        <v>541</v>
      </c>
      <c r="D557" t="s">
        <v>10</v>
      </c>
      <c r="E557" t="s">
        <v>476</v>
      </c>
      <c r="F557" t="s">
        <v>158</v>
      </c>
      <c r="G557" t="s">
        <v>346</v>
      </c>
      <c r="I557" s="37">
        <v>746.99</v>
      </c>
      <c r="L557" s="37">
        <v>791.99</v>
      </c>
      <c r="N557" s="37">
        <v>746.99</v>
      </c>
    </row>
    <row r="558" spans="1:14" x14ac:dyDescent="0.25">
      <c r="A558" s="1">
        <v>46042</v>
      </c>
      <c r="B558">
        <v>3</v>
      </c>
      <c r="C558" t="s">
        <v>541</v>
      </c>
      <c r="D558" t="s">
        <v>10</v>
      </c>
      <c r="E558" t="s">
        <v>477</v>
      </c>
      <c r="F558" t="s">
        <v>230</v>
      </c>
      <c r="G558" t="s">
        <v>346</v>
      </c>
      <c r="I558" s="37">
        <v>746.99</v>
      </c>
      <c r="L558" s="37">
        <v>746.99</v>
      </c>
      <c r="N558" s="37">
        <v>746.99</v>
      </c>
    </row>
    <row r="559" spans="1:14" x14ac:dyDescent="0.25">
      <c r="A559" s="1">
        <v>46042</v>
      </c>
      <c r="B559">
        <v>3</v>
      </c>
      <c r="C559" t="s">
        <v>541</v>
      </c>
      <c r="D559" t="s">
        <v>10</v>
      </c>
      <c r="E559" t="s">
        <v>478</v>
      </c>
      <c r="F559" t="s">
        <v>158</v>
      </c>
      <c r="G559" t="s">
        <v>346</v>
      </c>
      <c r="I559" s="37">
        <v>746.99</v>
      </c>
      <c r="L559" s="37">
        <v>746.99</v>
      </c>
      <c r="N559" s="37">
        <v>746.99</v>
      </c>
    </row>
    <row r="560" spans="1:14" x14ac:dyDescent="0.25">
      <c r="A560" s="1">
        <v>46042</v>
      </c>
      <c r="B560">
        <v>3</v>
      </c>
      <c r="C560" t="s">
        <v>541</v>
      </c>
      <c r="D560" t="s">
        <v>10</v>
      </c>
      <c r="E560" t="s">
        <v>479</v>
      </c>
      <c r="F560" t="s">
        <v>41</v>
      </c>
      <c r="G560" t="s">
        <v>398</v>
      </c>
      <c r="I560" s="37">
        <v>746.99</v>
      </c>
      <c r="J560" s="37">
        <v>29.01</v>
      </c>
      <c r="L560" s="37">
        <v>776</v>
      </c>
      <c r="N560" s="37">
        <v>776</v>
      </c>
    </row>
    <row r="561" spans="1:14" x14ac:dyDescent="0.25">
      <c r="A561" s="1">
        <v>46042</v>
      </c>
      <c r="B561">
        <v>3</v>
      </c>
      <c r="C561" t="s">
        <v>541</v>
      </c>
      <c r="D561" t="s">
        <v>10</v>
      </c>
      <c r="E561" t="s">
        <v>480</v>
      </c>
      <c r="F561" t="s">
        <v>158</v>
      </c>
      <c r="G561" t="s">
        <v>346</v>
      </c>
      <c r="I561" s="37">
        <v>746.99</v>
      </c>
      <c r="K561" s="37">
        <v>319.29000000000002</v>
      </c>
      <c r="L561" s="37">
        <v>427.7</v>
      </c>
      <c r="N561" s="37">
        <v>427.7</v>
      </c>
    </row>
    <row r="562" spans="1:14" x14ac:dyDescent="0.25">
      <c r="A562" s="1">
        <v>46042</v>
      </c>
      <c r="B562">
        <v>3</v>
      </c>
      <c r="C562" t="s">
        <v>541</v>
      </c>
      <c r="D562" t="s">
        <v>10</v>
      </c>
      <c r="E562" t="s">
        <v>481</v>
      </c>
      <c r="F562" t="s">
        <v>41</v>
      </c>
      <c r="G562" t="s">
        <v>398</v>
      </c>
      <c r="I562" s="37">
        <v>746.99</v>
      </c>
      <c r="L562" s="37">
        <v>746.99</v>
      </c>
      <c r="M562" s="37">
        <v>534.64</v>
      </c>
      <c r="N562" s="37">
        <v>746.99</v>
      </c>
    </row>
    <row r="563" spans="1:14" x14ac:dyDescent="0.25">
      <c r="A563" s="1">
        <v>46042</v>
      </c>
      <c r="B563">
        <v>3</v>
      </c>
      <c r="C563" t="s">
        <v>541</v>
      </c>
      <c r="D563" t="s">
        <v>10</v>
      </c>
      <c r="E563" t="s">
        <v>482</v>
      </c>
      <c r="F563" t="s">
        <v>158</v>
      </c>
      <c r="G563" t="s">
        <v>346</v>
      </c>
      <c r="I563" s="37">
        <v>746.99</v>
      </c>
      <c r="J563" s="37">
        <v>116.74</v>
      </c>
      <c r="L563" s="37">
        <v>863.73</v>
      </c>
      <c r="N563" s="37">
        <v>863.73</v>
      </c>
    </row>
    <row r="564" spans="1:14" x14ac:dyDescent="0.25">
      <c r="A564" s="1">
        <v>46042</v>
      </c>
      <c r="B564">
        <v>3</v>
      </c>
      <c r="C564" t="s">
        <v>541</v>
      </c>
      <c r="D564" t="s">
        <v>10</v>
      </c>
      <c r="E564" t="s">
        <v>483</v>
      </c>
      <c r="F564" t="s">
        <v>158</v>
      </c>
      <c r="G564" t="s">
        <v>346</v>
      </c>
      <c r="I564" s="37">
        <v>746.99</v>
      </c>
      <c r="J564" s="37">
        <v>0.01</v>
      </c>
      <c r="L564" s="37">
        <v>747</v>
      </c>
      <c r="N564" s="37">
        <v>747</v>
      </c>
    </row>
    <row r="565" spans="1:14" x14ac:dyDescent="0.25">
      <c r="A565" s="1">
        <v>46042</v>
      </c>
      <c r="B565">
        <v>3</v>
      </c>
      <c r="C565" t="s">
        <v>541</v>
      </c>
      <c r="D565" t="s">
        <v>10</v>
      </c>
      <c r="E565" t="s">
        <v>502</v>
      </c>
      <c r="F565" t="s">
        <v>55</v>
      </c>
      <c r="G565" t="s">
        <v>346</v>
      </c>
      <c r="I565" s="37">
        <v>746.99</v>
      </c>
      <c r="L565" s="37">
        <v>791.99</v>
      </c>
      <c r="N565" s="37">
        <v>746.99</v>
      </c>
    </row>
    <row r="566" spans="1:14" x14ac:dyDescent="0.25">
      <c r="A566" s="1">
        <v>46042</v>
      </c>
      <c r="B566">
        <v>3</v>
      </c>
      <c r="C566" t="s">
        <v>541</v>
      </c>
      <c r="D566" t="s">
        <v>10</v>
      </c>
      <c r="E566" t="s">
        <v>484</v>
      </c>
      <c r="F566" t="s">
        <v>158</v>
      </c>
      <c r="G566" t="s">
        <v>346</v>
      </c>
      <c r="I566" s="37">
        <v>746.99</v>
      </c>
      <c r="L566" s="37">
        <v>746.99</v>
      </c>
      <c r="N566" s="37">
        <v>746.99</v>
      </c>
    </row>
    <row r="567" spans="1:14" x14ac:dyDescent="0.25">
      <c r="A567" s="1">
        <v>46042</v>
      </c>
      <c r="B567">
        <v>3</v>
      </c>
      <c r="C567" t="s">
        <v>541</v>
      </c>
      <c r="D567" t="s">
        <v>10</v>
      </c>
      <c r="E567" t="s">
        <v>266</v>
      </c>
      <c r="F567" t="s">
        <v>55</v>
      </c>
      <c r="G567" t="s">
        <v>346</v>
      </c>
      <c r="I567" s="37">
        <v>746.99</v>
      </c>
      <c r="L567" s="37">
        <v>746.99</v>
      </c>
    </row>
    <row r="568" spans="1:14" x14ac:dyDescent="0.25">
      <c r="A568" s="1">
        <v>46042</v>
      </c>
      <c r="B568">
        <v>3</v>
      </c>
      <c r="C568" t="s">
        <v>541</v>
      </c>
      <c r="D568" t="s">
        <v>10</v>
      </c>
      <c r="E568" t="s">
        <v>485</v>
      </c>
      <c r="F568" t="s">
        <v>37</v>
      </c>
      <c r="G568" t="s">
        <v>346</v>
      </c>
      <c r="I568" s="37">
        <v>746.99</v>
      </c>
      <c r="L568" s="37">
        <v>746.99</v>
      </c>
      <c r="N568" s="37">
        <v>746.99</v>
      </c>
    </row>
    <row r="569" spans="1:14" x14ac:dyDescent="0.25">
      <c r="A569" s="1">
        <v>46042</v>
      </c>
      <c r="B569">
        <v>3</v>
      </c>
      <c r="C569" t="s">
        <v>541</v>
      </c>
      <c r="D569" t="s">
        <v>10</v>
      </c>
      <c r="E569" t="s">
        <v>486</v>
      </c>
      <c r="F569" t="s">
        <v>52</v>
      </c>
      <c r="G569" t="s">
        <v>346</v>
      </c>
      <c r="I569" s="37">
        <v>1251.99</v>
      </c>
      <c r="J569" s="37">
        <v>29.91</v>
      </c>
      <c r="L569" s="37">
        <v>1281.9000000000001</v>
      </c>
      <c r="N569" s="37">
        <v>1281.9000000000001</v>
      </c>
    </row>
    <row r="570" spans="1:14" x14ac:dyDescent="0.25">
      <c r="A570" s="1">
        <v>46042</v>
      </c>
      <c r="B570">
        <v>3</v>
      </c>
      <c r="C570" t="s">
        <v>541</v>
      </c>
      <c r="D570" t="s">
        <v>10</v>
      </c>
      <c r="E570" t="s">
        <v>487</v>
      </c>
      <c r="F570" t="s">
        <v>52</v>
      </c>
      <c r="G570" t="s">
        <v>359</v>
      </c>
      <c r="I570" s="37">
        <v>1251.99</v>
      </c>
      <c r="L570" s="37">
        <v>1251.99</v>
      </c>
      <c r="N570" s="37">
        <v>1251.99</v>
      </c>
    </row>
    <row r="571" spans="1:14" x14ac:dyDescent="0.25">
      <c r="A571" s="1">
        <v>46042</v>
      </c>
      <c r="B571">
        <v>3</v>
      </c>
      <c r="C571" t="s">
        <v>541</v>
      </c>
      <c r="D571" t="s">
        <v>10</v>
      </c>
      <c r="E571" t="s">
        <v>488</v>
      </c>
      <c r="F571" t="s">
        <v>407</v>
      </c>
      <c r="G571" t="s">
        <v>346</v>
      </c>
      <c r="I571" s="37">
        <v>801.99</v>
      </c>
      <c r="K571" s="37">
        <v>1.99</v>
      </c>
      <c r="L571" s="37">
        <v>800</v>
      </c>
      <c r="N571" s="37">
        <v>800</v>
      </c>
    </row>
    <row r="572" spans="1:14" x14ac:dyDescent="0.25">
      <c r="A572" s="1">
        <v>46042</v>
      </c>
      <c r="B572">
        <v>3</v>
      </c>
      <c r="C572" t="s">
        <v>541</v>
      </c>
      <c r="D572" t="s">
        <v>10</v>
      </c>
      <c r="E572" t="s">
        <v>489</v>
      </c>
      <c r="F572" t="s">
        <v>52</v>
      </c>
      <c r="G572" t="s">
        <v>346</v>
      </c>
      <c r="I572" s="37">
        <v>1251.99</v>
      </c>
      <c r="K572" s="37">
        <v>1.99</v>
      </c>
      <c r="L572" s="37">
        <v>1250</v>
      </c>
      <c r="N572" s="37">
        <v>1250</v>
      </c>
    </row>
    <row r="573" spans="1:14" x14ac:dyDescent="0.25">
      <c r="A573" s="1">
        <v>46042</v>
      </c>
      <c r="B573">
        <v>3</v>
      </c>
      <c r="C573" t="s">
        <v>541</v>
      </c>
      <c r="D573" t="s">
        <v>10</v>
      </c>
      <c r="E573" t="s">
        <v>490</v>
      </c>
      <c r="F573" t="s">
        <v>403</v>
      </c>
      <c r="G573" t="s">
        <v>346</v>
      </c>
      <c r="I573" s="37">
        <v>931.99</v>
      </c>
      <c r="L573" s="37">
        <v>931.99</v>
      </c>
      <c r="N573" s="37">
        <v>931.99</v>
      </c>
    </row>
    <row r="574" spans="1:14" x14ac:dyDescent="0.25">
      <c r="A574" s="1">
        <v>46042</v>
      </c>
      <c r="B574">
        <v>3</v>
      </c>
      <c r="C574" t="s">
        <v>541</v>
      </c>
      <c r="D574" t="s">
        <v>10</v>
      </c>
      <c r="E574" t="s">
        <v>491</v>
      </c>
      <c r="F574" t="s">
        <v>403</v>
      </c>
      <c r="G574" t="s">
        <v>346</v>
      </c>
      <c r="I574" s="37">
        <v>1001.99</v>
      </c>
      <c r="J574" s="37">
        <v>30.01</v>
      </c>
      <c r="L574" s="37">
        <v>1032</v>
      </c>
      <c r="N574" s="37">
        <v>1032</v>
      </c>
    </row>
    <row r="575" spans="1:14" x14ac:dyDescent="0.25">
      <c r="A575" s="1">
        <v>46042</v>
      </c>
      <c r="B575">
        <v>3</v>
      </c>
      <c r="C575" t="s">
        <v>541</v>
      </c>
      <c r="D575" t="s">
        <v>10</v>
      </c>
      <c r="E575" t="s">
        <v>503</v>
      </c>
      <c r="F575" t="s">
        <v>69</v>
      </c>
      <c r="G575" t="s">
        <v>349</v>
      </c>
      <c r="I575" s="37">
        <v>801.99</v>
      </c>
      <c r="J575" s="37">
        <v>120</v>
      </c>
      <c r="L575" s="37">
        <v>921.99</v>
      </c>
      <c r="N575" s="37">
        <v>921.99</v>
      </c>
    </row>
    <row r="576" spans="1:14" x14ac:dyDescent="0.25">
      <c r="A576" s="1">
        <v>46042</v>
      </c>
      <c r="B576">
        <v>3</v>
      </c>
      <c r="C576" t="s">
        <v>541</v>
      </c>
      <c r="D576" t="s">
        <v>10</v>
      </c>
      <c r="E576" t="s">
        <v>492</v>
      </c>
      <c r="F576" t="s">
        <v>28</v>
      </c>
      <c r="G576" t="s">
        <v>493</v>
      </c>
      <c r="I576" s="37">
        <v>931.99</v>
      </c>
      <c r="L576" s="37">
        <v>976.99</v>
      </c>
      <c r="N576" s="37">
        <v>931.99</v>
      </c>
    </row>
    <row r="577" spans="1:14" x14ac:dyDescent="0.25">
      <c r="A577" s="1">
        <v>46042</v>
      </c>
      <c r="B577">
        <v>3</v>
      </c>
      <c r="C577" t="s">
        <v>542</v>
      </c>
      <c r="D577" t="s">
        <v>99</v>
      </c>
      <c r="E577" t="s">
        <v>418</v>
      </c>
      <c r="F577" t="s">
        <v>33</v>
      </c>
      <c r="G577" t="s">
        <v>346</v>
      </c>
      <c r="I577" s="37">
        <v>851.99</v>
      </c>
      <c r="L577" s="37">
        <v>851.99</v>
      </c>
    </row>
    <row r="578" spans="1:14" x14ac:dyDescent="0.25">
      <c r="A578" s="1">
        <v>46042</v>
      </c>
      <c r="B578">
        <v>3</v>
      </c>
      <c r="C578" t="s">
        <v>542</v>
      </c>
      <c r="D578" t="s">
        <v>99</v>
      </c>
      <c r="E578" t="s">
        <v>417</v>
      </c>
      <c r="F578" t="s">
        <v>52</v>
      </c>
      <c r="G578" t="s">
        <v>359</v>
      </c>
      <c r="I578" s="37">
        <v>1251.99</v>
      </c>
      <c r="L578" s="37">
        <v>1251.99</v>
      </c>
    </row>
    <row r="579" spans="1:14" x14ac:dyDescent="0.25">
      <c r="A579" s="1">
        <v>46042</v>
      </c>
      <c r="B579">
        <v>3</v>
      </c>
      <c r="C579" t="s">
        <v>541</v>
      </c>
      <c r="D579" t="s">
        <v>10</v>
      </c>
      <c r="E579" t="s">
        <v>372</v>
      </c>
      <c r="F579" t="s">
        <v>55</v>
      </c>
      <c r="G579" t="s">
        <v>373</v>
      </c>
      <c r="I579" s="37">
        <v>746.99</v>
      </c>
      <c r="L579" s="37">
        <v>791.99</v>
      </c>
      <c r="N579" s="37">
        <v>746.99</v>
      </c>
    </row>
    <row r="580" spans="1:14" x14ac:dyDescent="0.25">
      <c r="A580" s="1">
        <v>46042</v>
      </c>
      <c r="B580">
        <v>3</v>
      </c>
      <c r="C580" t="s">
        <v>542</v>
      </c>
      <c r="D580" t="s">
        <v>234</v>
      </c>
      <c r="E580" t="s">
        <v>421</v>
      </c>
      <c r="F580" t="s">
        <v>422</v>
      </c>
      <c r="G580" t="s">
        <v>346</v>
      </c>
      <c r="I580" s="37">
        <v>1251.99</v>
      </c>
      <c r="L580" s="37">
        <v>1251.99</v>
      </c>
    </row>
    <row r="581" spans="1:14" x14ac:dyDescent="0.25">
      <c r="A581" s="1">
        <v>46042</v>
      </c>
      <c r="B581">
        <v>3</v>
      </c>
      <c r="C581" t="s">
        <v>542</v>
      </c>
      <c r="D581" t="s">
        <v>99</v>
      </c>
      <c r="E581" t="s">
        <v>511</v>
      </c>
      <c r="F581" t="s">
        <v>512</v>
      </c>
      <c r="G581" t="s">
        <v>346</v>
      </c>
      <c r="I581" s="37">
        <v>746.99</v>
      </c>
      <c r="L581" s="37">
        <v>746.99</v>
      </c>
    </row>
    <row r="582" spans="1:14" x14ac:dyDescent="0.25">
      <c r="A582" s="1">
        <v>46042</v>
      </c>
      <c r="B582">
        <v>3</v>
      </c>
      <c r="C582" t="s">
        <v>542</v>
      </c>
      <c r="D582" t="s">
        <v>99</v>
      </c>
      <c r="E582" t="s">
        <v>513</v>
      </c>
      <c r="F582" t="s">
        <v>514</v>
      </c>
      <c r="G582" t="s">
        <v>515</v>
      </c>
      <c r="I582" s="37">
        <v>746.99</v>
      </c>
      <c r="L582" s="37">
        <v>746.99</v>
      </c>
    </row>
    <row r="583" spans="1:14" x14ac:dyDescent="0.25">
      <c r="A583" s="1">
        <v>46042</v>
      </c>
      <c r="B583">
        <v>3</v>
      </c>
      <c r="C583" t="s">
        <v>542</v>
      </c>
      <c r="D583" t="s">
        <v>99</v>
      </c>
      <c r="E583" t="s">
        <v>317</v>
      </c>
      <c r="F583" t="s">
        <v>101</v>
      </c>
      <c r="G583" t="s">
        <v>346</v>
      </c>
      <c r="I583" s="37">
        <v>1351.99</v>
      </c>
      <c r="L583" s="37">
        <v>1351.99</v>
      </c>
    </row>
    <row r="584" spans="1:14" x14ac:dyDescent="0.25">
      <c r="A584" s="1">
        <v>46042</v>
      </c>
      <c r="B584">
        <v>3</v>
      </c>
      <c r="C584" t="s">
        <v>542</v>
      </c>
      <c r="D584" t="s">
        <v>234</v>
      </c>
      <c r="E584" t="s">
        <v>516</v>
      </c>
      <c r="F584" t="s">
        <v>517</v>
      </c>
      <c r="G584" t="s">
        <v>349</v>
      </c>
      <c r="I584" s="37">
        <v>801.99</v>
      </c>
      <c r="L584" s="37">
        <v>801.99</v>
      </c>
      <c r="M584" s="37">
        <v>199.49</v>
      </c>
    </row>
    <row r="585" spans="1:14" x14ac:dyDescent="0.25">
      <c r="A585" s="1">
        <v>46042</v>
      </c>
      <c r="B585">
        <v>3</v>
      </c>
      <c r="C585" t="s">
        <v>542</v>
      </c>
      <c r="D585" t="s">
        <v>234</v>
      </c>
      <c r="E585" t="s">
        <v>518</v>
      </c>
      <c r="F585" t="s">
        <v>385</v>
      </c>
      <c r="G585" t="s">
        <v>349</v>
      </c>
      <c r="I585" s="37"/>
    </row>
    <row r="586" spans="1:14" x14ac:dyDescent="0.25">
      <c r="A586" s="1">
        <v>46042</v>
      </c>
      <c r="B586">
        <v>3</v>
      </c>
      <c r="C586" t="s">
        <v>542</v>
      </c>
      <c r="D586" t="s">
        <v>99</v>
      </c>
      <c r="E586" t="s">
        <v>519</v>
      </c>
      <c r="F586" t="s">
        <v>520</v>
      </c>
      <c r="G586" t="s">
        <v>349</v>
      </c>
      <c r="I586" s="37"/>
    </row>
    <row r="587" spans="1:14" x14ac:dyDescent="0.25">
      <c r="A587" s="1">
        <v>46042</v>
      </c>
      <c r="B587">
        <v>3</v>
      </c>
      <c r="C587" t="s">
        <v>542</v>
      </c>
      <c r="D587" t="s">
        <v>99</v>
      </c>
      <c r="E587" t="s">
        <v>495</v>
      </c>
      <c r="F587" t="s">
        <v>33</v>
      </c>
      <c r="G587" t="s">
        <v>349</v>
      </c>
      <c r="I587" s="37"/>
      <c r="M587" s="37">
        <v>729.12</v>
      </c>
    </row>
    <row r="588" spans="1:14" x14ac:dyDescent="0.25">
      <c r="A588" s="1">
        <v>46042</v>
      </c>
      <c r="B588">
        <v>3</v>
      </c>
      <c r="C588" t="s">
        <v>542</v>
      </c>
      <c r="D588" t="s">
        <v>99</v>
      </c>
      <c r="E588" t="s">
        <v>318</v>
      </c>
      <c r="F588" t="s">
        <v>12</v>
      </c>
      <c r="G588" t="s">
        <v>346</v>
      </c>
      <c r="I588" s="37"/>
    </row>
    <row r="589" spans="1:14" x14ac:dyDescent="0.25">
      <c r="A589" s="1">
        <v>46042</v>
      </c>
      <c r="B589">
        <v>3</v>
      </c>
      <c r="C589" t="s">
        <v>542</v>
      </c>
      <c r="D589" t="s">
        <v>99</v>
      </c>
      <c r="E589" t="s">
        <v>524</v>
      </c>
      <c r="F589" t="s">
        <v>41</v>
      </c>
      <c r="G589" t="s">
        <v>420</v>
      </c>
      <c r="I589" s="37"/>
      <c r="M589" s="37">
        <v>10</v>
      </c>
    </row>
    <row r="590" spans="1:14" x14ac:dyDescent="0.25">
      <c r="A590" s="1">
        <v>46042</v>
      </c>
      <c r="B590">
        <v>3</v>
      </c>
      <c r="C590" t="s">
        <v>542</v>
      </c>
      <c r="D590" t="s">
        <v>99</v>
      </c>
      <c r="E590" t="s">
        <v>106</v>
      </c>
      <c r="F590" t="s">
        <v>12</v>
      </c>
      <c r="G590" t="s">
        <v>346</v>
      </c>
      <c r="I590" s="37"/>
    </row>
    <row r="591" spans="1:14" x14ac:dyDescent="0.25">
      <c r="A591" s="1">
        <v>46042</v>
      </c>
      <c r="B591">
        <v>3</v>
      </c>
      <c r="C591" t="s">
        <v>542</v>
      </c>
      <c r="D591" t="s">
        <v>136</v>
      </c>
      <c r="E591" t="s">
        <v>525</v>
      </c>
      <c r="F591" t="s">
        <v>158</v>
      </c>
      <c r="G591" t="s">
        <v>346</v>
      </c>
      <c r="I591" s="37"/>
    </row>
    <row r="592" spans="1:14" x14ac:dyDescent="0.25">
      <c r="A592" s="1">
        <v>46042</v>
      </c>
      <c r="B592">
        <v>3</v>
      </c>
      <c r="C592" t="s">
        <v>542</v>
      </c>
      <c r="D592" t="s">
        <v>99</v>
      </c>
      <c r="E592" t="s">
        <v>526</v>
      </c>
      <c r="F592" t="s">
        <v>158</v>
      </c>
      <c r="G592" t="s">
        <v>346</v>
      </c>
      <c r="I592" s="37"/>
    </row>
    <row r="593" spans="1:9" x14ac:dyDescent="0.25">
      <c r="A593" s="1">
        <v>46042</v>
      </c>
      <c r="B593">
        <v>3</v>
      </c>
      <c r="C593" t="s">
        <v>542</v>
      </c>
      <c r="D593" t="s">
        <v>99</v>
      </c>
      <c r="E593" t="s">
        <v>319</v>
      </c>
      <c r="F593" t="s">
        <v>158</v>
      </c>
      <c r="G593" t="s">
        <v>346</v>
      </c>
      <c r="I593" s="37"/>
    </row>
    <row r="594" spans="1:9" x14ac:dyDescent="0.25">
      <c r="A594" s="1">
        <v>46042</v>
      </c>
      <c r="B594">
        <v>3</v>
      </c>
      <c r="C594" t="s">
        <v>542</v>
      </c>
      <c r="D594" t="s">
        <v>99</v>
      </c>
      <c r="E594" t="s">
        <v>527</v>
      </c>
      <c r="F594" t="s">
        <v>158</v>
      </c>
      <c r="G594" t="s">
        <v>346</v>
      </c>
      <c r="I594" s="37"/>
    </row>
    <row r="595" spans="1:9" x14ac:dyDescent="0.25">
      <c r="A595" s="1">
        <v>46042</v>
      </c>
      <c r="B595">
        <v>3</v>
      </c>
      <c r="C595" t="s">
        <v>542</v>
      </c>
      <c r="D595" t="s">
        <v>99</v>
      </c>
      <c r="E595" t="s">
        <v>320</v>
      </c>
      <c r="F595" t="s">
        <v>55</v>
      </c>
      <c r="G595" t="s">
        <v>346</v>
      </c>
      <c r="I595" s="37"/>
    </row>
    <row r="596" spans="1:9" x14ac:dyDescent="0.25">
      <c r="A596" s="1">
        <v>46042</v>
      </c>
      <c r="B596">
        <v>3</v>
      </c>
      <c r="C596" t="s">
        <v>542</v>
      </c>
      <c r="D596" t="s">
        <v>336</v>
      </c>
      <c r="E596" t="s">
        <v>528</v>
      </c>
      <c r="F596" t="s">
        <v>158</v>
      </c>
      <c r="G596" t="s">
        <v>346</v>
      </c>
      <c r="I596" s="37"/>
    </row>
    <row r="597" spans="1:9" x14ac:dyDescent="0.25">
      <c r="A597" s="1">
        <v>46042</v>
      </c>
      <c r="B597">
        <v>3</v>
      </c>
      <c r="C597" t="s">
        <v>542</v>
      </c>
      <c r="D597" t="s">
        <v>99</v>
      </c>
      <c r="E597" t="s">
        <v>321</v>
      </c>
      <c r="F597" t="s">
        <v>158</v>
      </c>
      <c r="G597" t="s">
        <v>346</v>
      </c>
      <c r="I597" s="37"/>
    </row>
    <row r="598" spans="1:9" x14ac:dyDescent="0.25">
      <c r="A598" s="1">
        <v>46042</v>
      </c>
      <c r="B598">
        <v>3</v>
      </c>
      <c r="C598" t="s">
        <v>542</v>
      </c>
      <c r="D598" t="s">
        <v>99</v>
      </c>
      <c r="E598" t="s">
        <v>322</v>
      </c>
      <c r="F598" t="s">
        <v>158</v>
      </c>
      <c r="G598" t="s">
        <v>346</v>
      </c>
      <c r="I598" s="37"/>
    </row>
    <row r="599" spans="1:9" x14ac:dyDescent="0.25">
      <c r="A599" s="1">
        <v>46042</v>
      </c>
      <c r="B599">
        <v>3</v>
      </c>
      <c r="C599" t="s">
        <v>542</v>
      </c>
      <c r="D599" t="s">
        <v>99</v>
      </c>
      <c r="E599" t="s">
        <v>323</v>
      </c>
      <c r="F599" t="s">
        <v>158</v>
      </c>
      <c r="G599" t="s">
        <v>346</v>
      </c>
      <c r="I599" s="37"/>
    </row>
    <row r="600" spans="1:9" x14ac:dyDescent="0.25">
      <c r="A600" s="1">
        <v>46042</v>
      </c>
      <c r="B600">
        <v>3</v>
      </c>
      <c r="C600" t="s">
        <v>542</v>
      </c>
      <c r="D600" t="s">
        <v>99</v>
      </c>
      <c r="E600" t="s">
        <v>324</v>
      </c>
      <c r="F600" t="s">
        <v>158</v>
      </c>
      <c r="G600" t="s">
        <v>346</v>
      </c>
      <c r="I600" s="37"/>
    </row>
    <row r="601" spans="1:9" x14ac:dyDescent="0.25">
      <c r="A601" s="1">
        <v>46042</v>
      </c>
      <c r="B601">
        <v>3</v>
      </c>
      <c r="C601" t="s">
        <v>542</v>
      </c>
      <c r="D601" t="s">
        <v>99</v>
      </c>
      <c r="E601" t="s">
        <v>529</v>
      </c>
      <c r="F601" t="s">
        <v>55</v>
      </c>
      <c r="G601" t="s">
        <v>346</v>
      </c>
      <c r="I601" s="37"/>
    </row>
    <row r="602" spans="1:9" x14ac:dyDescent="0.25">
      <c r="A602" s="1">
        <v>46042</v>
      </c>
      <c r="B602">
        <v>3</v>
      </c>
      <c r="C602" t="s">
        <v>542</v>
      </c>
      <c r="D602" t="s">
        <v>336</v>
      </c>
      <c r="E602" t="s">
        <v>530</v>
      </c>
      <c r="F602" t="s">
        <v>52</v>
      </c>
      <c r="G602" t="s">
        <v>515</v>
      </c>
      <c r="I602" s="37"/>
    </row>
    <row r="603" spans="1:9" x14ac:dyDescent="0.25">
      <c r="A603" s="1">
        <v>46042</v>
      </c>
      <c r="B603">
        <v>3</v>
      </c>
      <c r="C603" t="s">
        <v>542</v>
      </c>
      <c r="D603" t="s">
        <v>99</v>
      </c>
      <c r="E603" t="s">
        <v>531</v>
      </c>
      <c r="F603" t="s">
        <v>158</v>
      </c>
      <c r="G603" t="s">
        <v>346</v>
      </c>
      <c r="I603" s="37"/>
    </row>
    <row r="604" spans="1:9" x14ac:dyDescent="0.25">
      <c r="A604" s="1">
        <v>46042</v>
      </c>
      <c r="B604">
        <v>3</v>
      </c>
      <c r="C604" t="s">
        <v>542</v>
      </c>
      <c r="D604" t="s">
        <v>99</v>
      </c>
      <c r="E604" t="s">
        <v>325</v>
      </c>
      <c r="F604" t="s">
        <v>158</v>
      </c>
      <c r="G604" t="s">
        <v>346</v>
      </c>
      <c r="I604" s="37"/>
    </row>
    <row r="605" spans="1:9" x14ac:dyDescent="0.25">
      <c r="A605" s="1">
        <v>46042</v>
      </c>
      <c r="B605">
        <v>3</v>
      </c>
      <c r="C605" t="s">
        <v>542</v>
      </c>
      <c r="D605" t="s">
        <v>99</v>
      </c>
      <c r="E605" t="s">
        <v>532</v>
      </c>
      <c r="F605" t="s">
        <v>55</v>
      </c>
      <c r="G605" t="s">
        <v>346</v>
      </c>
      <c r="I605" s="37"/>
    </row>
    <row r="606" spans="1:9" x14ac:dyDescent="0.25">
      <c r="A606" s="1">
        <v>46042</v>
      </c>
      <c r="B606">
        <v>3</v>
      </c>
      <c r="C606" t="s">
        <v>542</v>
      </c>
      <c r="D606" t="s">
        <v>336</v>
      </c>
      <c r="E606" t="s">
        <v>533</v>
      </c>
      <c r="F606" t="s">
        <v>211</v>
      </c>
      <c r="G606" t="s">
        <v>346</v>
      </c>
      <c r="I606" s="37"/>
    </row>
    <row r="607" spans="1:9" x14ac:dyDescent="0.25">
      <c r="A607" s="1">
        <v>46042</v>
      </c>
      <c r="B607">
        <v>3</v>
      </c>
      <c r="C607" t="s">
        <v>542</v>
      </c>
      <c r="D607" t="s">
        <v>99</v>
      </c>
      <c r="E607" t="s">
        <v>534</v>
      </c>
      <c r="F607" t="s">
        <v>535</v>
      </c>
      <c r="G607" t="s">
        <v>493</v>
      </c>
      <c r="I607" s="37"/>
    </row>
    <row r="608" spans="1:9" x14ac:dyDescent="0.25">
      <c r="A608" s="1">
        <v>46042</v>
      </c>
      <c r="B608">
        <v>3</v>
      </c>
      <c r="C608" t="s">
        <v>542</v>
      </c>
      <c r="D608" t="s">
        <v>136</v>
      </c>
      <c r="E608" t="s">
        <v>405</v>
      </c>
      <c r="F608" t="s">
        <v>52</v>
      </c>
      <c r="G608" t="s">
        <v>346</v>
      </c>
      <c r="I608" s="37"/>
    </row>
    <row r="609" spans="1:14" x14ac:dyDescent="0.25">
      <c r="A609" s="1">
        <v>46042</v>
      </c>
      <c r="B609">
        <v>3</v>
      </c>
      <c r="C609" t="s">
        <v>542</v>
      </c>
      <c r="D609" t="s">
        <v>336</v>
      </c>
      <c r="E609" t="s">
        <v>536</v>
      </c>
      <c r="F609" t="s">
        <v>52</v>
      </c>
      <c r="G609" t="s">
        <v>359</v>
      </c>
      <c r="I609" s="37"/>
    </row>
    <row r="610" spans="1:14" x14ac:dyDescent="0.25">
      <c r="A610" s="1">
        <v>46042</v>
      </c>
      <c r="B610">
        <v>3</v>
      </c>
      <c r="C610" t="s">
        <v>542</v>
      </c>
      <c r="D610" t="s">
        <v>336</v>
      </c>
      <c r="E610" t="s">
        <v>537</v>
      </c>
      <c r="F610" t="s">
        <v>407</v>
      </c>
      <c r="G610" t="s">
        <v>346</v>
      </c>
      <c r="I610" s="37"/>
    </row>
    <row r="611" spans="1:14" x14ac:dyDescent="0.25">
      <c r="A611" s="1">
        <v>46042</v>
      </c>
      <c r="B611">
        <v>3</v>
      </c>
      <c r="C611" t="s">
        <v>542</v>
      </c>
      <c r="D611" t="s">
        <v>99</v>
      </c>
      <c r="E611" t="s">
        <v>51</v>
      </c>
      <c r="F611" t="s">
        <v>52</v>
      </c>
      <c r="G611" t="s">
        <v>346</v>
      </c>
      <c r="I611" s="37"/>
    </row>
    <row r="612" spans="1:14" x14ac:dyDescent="0.25">
      <c r="A612" s="1">
        <v>46042</v>
      </c>
      <c r="B612">
        <v>3</v>
      </c>
      <c r="C612" t="s">
        <v>542</v>
      </c>
      <c r="D612" t="s">
        <v>99</v>
      </c>
      <c r="E612" t="s">
        <v>375</v>
      </c>
      <c r="F612" t="s">
        <v>52</v>
      </c>
      <c r="G612" t="s">
        <v>346</v>
      </c>
      <c r="I612" s="37"/>
    </row>
    <row r="613" spans="1:14" x14ac:dyDescent="0.25">
      <c r="A613" s="1">
        <v>46042</v>
      </c>
      <c r="B613">
        <v>3</v>
      </c>
      <c r="C613" t="s">
        <v>542</v>
      </c>
      <c r="D613" t="s">
        <v>99</v>
      </c>
      <c r="E613" t="s">
        <v>410</v>
      </c>
      <c r="F613" t="s">
        <v>411</v>
      </c>
      <c r="G613" t="s">
        <v>346</v>
      </c>
      <c r="I613" s="37"/>
    </row>
    <row r="614" spans="1:14" x14ac:dyDescent="0.25">
      <c r="A614" s="1">
        <v>46042</v>
      </c>
      <c r="B614">
        <v>3</v>
      </c>
      <c r="C614" t="s">
        <v>542</v>
      </c>
      <c r="D614" t="s">
        <v>99</v>
      </c>
      <c r="E614" t="s">
        <v>538</v>
      </c>
      <c r="F614" t="s">
        <v>178</v>
      </c>
      <c r="G614" t="s">
        <v>409</v>
      </c>
      <c r="I614" s="37"/>
    </row>
    <row r="615" spans="1:14" x14ac:dyDescent="0.25">
      <c r="A615" s="1">
        <v>46042</v>
      </c>
      <c r="B615">
        <v>3</v>
      </c>
      <c r="C615" t="s">
        <v>542</v>
      </c>
      <c r="D615" t="s">
        <v>99</v>
      </c>
      <c r="E615" t="s">
        <v>326</v>
      </c>
      <c r="F615" t="s">
        <v>52</v>
      </c>
      <c r="G615" t="s">
        <v>346</v>
      </c>
      <c r="I615" s="37"/>
    </row>
    <row r="616" spans="1:14" x14ac:dyDescent="0.25">
      <c r="A616" s="1">
        <v>46042</v>
      </c>
      <c r="B616">
        <v>3</v>
      </c>
      <c r="C616" t="s">
        <v>542</v>
      </c>
      <c r="D616" t="s">
        <v>99</v>
      </c>
      <c r="E616" t="s">
        <v>496</v>
      </c>
      <c r="F616" t="s">
        <v>403</v>
      </c>
      <c r="G616" t="s">
        <v>346</v>
      </c>
      <c r="I616" s="37"/>
    </row>
    <row r="617" spans="1:14" x14ac:dyDescent="0.25">
      <c r="A617" s="1">
        <v>46042</v>
      </c>
      <c r="B617">
        <v>3</v>
      </c>
      <c r="C617" t="s">
        <v>542</v>
      </c>
      <c r="D617" t="s">
        <v>99</v>
      </c>
      <c r="E617" t="s">
        <v>376</v>
      </c>
      <c r="F617" t="s">
        <v>52</v>
      </c>
      <c r="G617" t="s">
        <v>346</v>
      </c>
      <c r="I617" s="37"/>
    </row>
    <row r="618" spans="1:14" x14ac:dyDescent="0.25">
      <c r="A618" s="1">
        <v>46042</v>
      </c>
      <c r="B618">
        <v>3</v>
      </c>
      <c r="C618" t="s">
        <v>542</v>
      </c>
      <c r="D618" t="s">
        <v>336</v>
      </c>
      <c r="E618" t="s">
        <v>539</v>
      </c>
      <c r="F618" t="s">
        <v>55</v>
      </c>
      <c r="G618" t="s">
        <v>493</v>
      </c>
      <c r="I618" s="37"/>
    </row>
    <row r="619" spans="1:14" x14ac:dyDescent="0.25">
      <c r="A619" s="1">
        <v>46056</v>
      </c>
      <c r="B619">
        <v>1</v>
      </c>
      <c r="C619" t="s">
        <v>541</v>
      </c>
      <c r="D619" t="s">
        <v>10</v>
      </c>
      <c r="E619" t="s">
        <v>345</v>
      </c>
      <c r="F619" t="s">
        <v>12</v>
      </c>
      <c r="G619" t="s">
        <v>346</v>
      </c>
      <c r="I619" s="37">
        <v>746.99</v>
      </c>
      <c r="K619" s="37">
        <v>319.29000000000002</v>
      </c>
      <c r="L619" s="37">
        <v>427.7</v>
      </c>
      <c r="N619" s="37">
        <v>427.7</v>
      </c>
    </row>
    <row r="620" spans="1:14" x14ac:dyDescent="0.25">
      <c r="A620" s="1">
        <v>46056</v>
      </c>
      <c r="B620">
        <v>1</v>
      </c>
      <c r="C620" t="s">
        <v>541</v>
      </c>
      <c r="D620" t="s">
        <v>10</v>
      </c>
      <c r="E620" t="s">
        <v>347</v>
      </c>
      <c r="F620" t="s">
        <v>348</v>
      </c>
      <c r="G620" t="s">
        <v>349</v>
      </c>
      <c r="I620" s="37">
        <v>801.99</v>
      </c>
      <c r="L620" s="37">
        <v>801.99</v>
      </c>
      <c r="N620" s="37">
        <v>801.99</v>
      </c>
    </row>
    <row r="621" spans="1:14" x14ac:dyDescent="0.25">
      <c r="A621" s="1">
        <v>46056</v>
      </c>
      <c r="B621">
        <v>1</v>
      </c>
      <c r="C621" t="s">
        <v>541</v>
      </c>
      <c r="D621" t="s">
        <v>10</v>
      </c>
      <c r="E621" t="s">
        <v>350</v>
      </c>
      <c r="F621" t="s">
        <v>12</v>
      </c>
      <c r="G621" t="s">
        <v>349</v>
      </c>
      <c r="I621" s="37">
        <v>801.99</v>
      </c>
      <c r="L621" s="37">
        <v>801.99</v>
      </c>
      <c r="N621" s="37">
        <v>801.99</v>
      </c>
    </row>
    <row r="622" spans="1:14" x14ac:dyDescent="0.25">
      <c r="A622" s="1">
        <v>46056</v>
      </c>
      <c r="B622">
        <v>1</v>
      </c>
      <c r="C622" t="s">
        <v>541</v>
      </c>
      <c r="D622" t="s">
        <v>10</v>
      </c>
      <c r="E622" t="s">
        <v>351</v>
      </c>
      <c r="F622" t="s">
        <v>116</v>
      </c>
      <c r="G622" t="s">
        <v>346</v>
      </c>
      <c r="I622" s="37">
        <v>746.99</v>
      </c>
      <c r="J622" s="37">
        <v>53.01</v>
      </c>
      <c r="L622" s="37">
        <v>800</v>
      </c>
      <c r="N622" s="37">
        <v>800</v>
      </c>
    </row>
    <row r="623" spans="1:14" x14ac:dyDescent="0.25">
      <c r="A623" s="1">
        <v>46056</v>
      </c>
      <c r="B623">
        <v>1</v>
      </c>
      <c r="C623" t="s">
        <v>541</v>
      </c>
      <c r="D623" t="s">
        <v>10</v>
      </c>
      <c r="E623" t="s">
        <v>352</v>
      </c>
      <c r="F623" t="s">
        <v>158</v>
      </c>
      <c r="G623" t="s">
        <v>353</v>
      </c>
      <c r="I623" s="37">
        <v>746.99</v>
      </c>
      <c r="L623" s="37">
        <v>746.99</v>
      </c>
      <c r="N623" s="37">
        <v>746.99</v>
      </c>
    </row>
    <row r="624" spans="1:14" x14ac:dyDescent="0.25">
      <c r="A624" s="1">
        <v>46056</v>
      </c>
      <c r="B624">
        <v>1</v>
      </c>
      <c r="C624" t="s">
        <v>541</v>
      </c>
      <c r="D624" t="s">
        <v>10</v>
      </c>
      <c r="E624" t="s">
        <v>354</v>
      </c>
      <c r="F624" t="s">
        <v>230</v>
      </c>
      <c r="G624" t="s">
        <v>346</v>
      </c>
      <c r="I624" s="37">
        <v>746.99</v>
      </c>
      <c r="K624" s="37">
        <v>0.99</v>
      </c>
      <c r="L624" s="37">
        <v>746</v>
      </c>
      <c r="N624" s="37">
        <v>746</v>
      </c>
    </row>
    <row r="625" spans="1:14" x14ac:dyDescent="0.25">
      <c r="A625" s="1">
        <v>46056</v>
      </c>
      <c r="B625">
        <v>1</v>
      </c>
      <c r="C625" t="s">
        <v>541</v>
      </c>
      <c r="D625" t="s">
        <v>10</v>
      </c>
      <c r="E625" t="s">
        <v>355</v>
      </c>
      <c r="F625" t="s">
        <v>158</v>
      </c>
      <c r="G625" t="s">
        <v>346</v>
      </c>
      <c r="I625" s="37">
        <v>746.99</v>
      </c>
      <c r="K625" s="37">
        <v>1.99</v>
      </c>
      <c r="L625" s="37">
        <v>745</v>
      </c>
      <c r="N625" s="37">
        <v>745</v>
      </c>
    </row>
    <row r="626" spans="1:14" x14ac:dyDescent="0.25">
      <c r="A626" s="1">
        <v>46056</v>
      </c>
      <c r="B626">
        <v>1</v>
      </c>
      <c r="C626" t="s">
        <v>541</v>
      </c>
      <c r="D626" t="s">
        <v>10</v>
      </c>
      <c r="E626" t="s">
        <v>356</v>
      </c>
      <c r="F626" t="s">
        <v>158</v>
      </c>
      <c r="G626" t="s">
        <v>346</v>
      </c>
      <c r="I626" s="37">
        <v>746.99</v>
      </c>
      <c r="K626" s="37">
        <v>1</v>
      </c>
      <c r="L626" s="37">
        <v>745.99</v>
      </c>
      <c r="N626" s="37">
        <v>745.99</v>
      </c>
    </row>
    <row r="627" spans="1:14" x14ac:dyDescent="0.25">
      <c r="A627" s="1">
        <v>46056</v>
      </c>
      <c r="B627">
        <v>1</v>
      </c>
      <c r="C627" t="s">
        <v>541</v>
      </c>
      <c r="D627" t="s">
        <v>10</v>
      </c>
      <c r="E627" t="s">
        <v>374</v>
      </c>
      <c r="F627" t="s">
        <v>158</v>
      </c>
      <c r="G627" t="s">
        <v>346</v>
      </c>
      <c r="I627" s="37">
        <v>746.99</v>
      </c>
      <c r="J627" s="37">
        <v>60.01</v>
      </c>
      <c r="L627" s="37">
        <v>807</v>
      </c>
      <c r="N627" s="37">
        <v>807</v>
      </c>
    </row>
    <row r="628" spans="1:14" x14ac:dyDescent="0.25">
      <c r="A628" s="1">
        <v>46056</v>
      </c>
      <c r="B628">
        <v>1</v>
      </c>
      <c r="C628" t="s">
        <v>541</v>
      </c>
      <c r="D628" t="s">
        <v>10</v>
      </c>
      <c r="E628" t="s">
        <v>357</v>
      </c>
      <c r="F628" t="s">
        <v>55</v>
      </c>
      <c r="G628" t="s">
        <v>346</v>
      </c>
      <c r="I628" s="37">
        <v>746.99</v>
      </c>
      <c r="L628" s="37">
        <v>746.99</v>
      </c>
      <c r="N628" s="37">
        <v>746.99</v>
      </c>
    </row>
    <row r="629" spans="1:14" x14ac:dyDescent="0.25">
      <c r="A629" s="1">
        <v>46056</v>
      </c>
      <c r="B629">
        <v>1</v>
      </c>
      <c r="C629" t="s">
        <v>541</v>
      </c>
      <c r="D629" t="s">
        <v>10</v>
      </c>
      <c r="E629" t="s">
        <v>358</v>
      </c>
      <c r="F629" t="s">
        <v>52</v>
      </c>
      <c r="G629" t="s">
        <v>359</v>
      </c>
      <c r="I629" s="37">
        <v>1251.99</v>
      </c>
      <c r="J629" s="37">
        <v>58.01</v>
      </c>
      <c r="L629" s="37">
        <v>1310</v>
      </c>
      <c r="N629" s="37">
        <v>1310</v>
      </c>
    </row>
    <row r="630" spans="1:14" x14ac:dyDescent="0.25">
      <c r="A630" s="1">
        <v>46056</v>
      </c>
      <c r="B630">
        <v>1</v>
      </c>
      <c r="C630" t="s">
        <v>541</v>
      </c>
      <c r="D630" t="s">
        <v>10</v>
      </c>
      <c r="E630" t="s">
        <v>360</v>
      </c>
      <c r="F630" t="s">
        <v>211</v>
      </c>
      <c r="G630" t="s">
        <v>346</v>
      </c>
      <c r="I630" s="37">
        <v>746.99</v>
      </c>
      <c r="K630" s="37">
        <v>0.5</v>
      </c>
      <c r="L630" s="37">
        <v>746.49</v>
      </c>
      <c r="N630" s="37">
        <v>746.49</v>
      </c>
    </row>
    <row r="631" spans="1:14" x14ac:dyDescent="0.25">
      <c r="A631" s="1">
        <v>46056</v>
      </c>
      <c r="B631">
        <v>1</v>
      </c>
      <c r="C631" t="s">
        <v>541</v>
      </c>
      <c r="D631" t="s">
        <v>10</v>
      </c>
      <c r="E631" t="s">
        <v>361</v>
      </c>
      <c r="F631" t="s">
        <v>52</v>
      </c>
      <c r="G631" t="s">
        <v>346</v>
      </c>
      <c r="I631" s="37">
        <v>1251.99</v>
      </c>
      <c r="J631" s="37">
        <v>90.01</v>
      </c>
      <c r="L631" s="37">
        <v>1342</v>
      </c>
      <c r="N631" s="37">
        <v>1342</v>
      </c>
    </row>
    <row r="632" spans="1:14" x14ac:dyDescent="0.25">
      <c r="A632" s="1">
        <v>46056</v>
      </c>
      <c r="B632">
        <v>1</v>
      </c>
      <c r="C632" t="s">
        <v>541</v>
      </c>
      <c r="D632" t="s">
        <v>10</v>
      </c>
      <c r="E632" t="s">
        <v>362</v>
      </c>
      <c r="F632" t="s">
        <v>52</v>
      </c>
      <c r="G632" t="s">
        <v>363</v>
      </c>
      <c r="I632" s="37">
        <v>1251.99</v>
      </c>
      <c r="J632" s="37">
        <v>60</v>
      </c>
      <c r="L632" s="37">
        <v>1311.99</v>
      </c>
      <c r="N632" s="37">
        <v>1311.99</v>
      </c>
    </row>
    <row r="633" spans="1:14" x14ac:dyDescent="0.25">
      <c r="A633" s="1">
        <v>46056</v>
      </c>
      <c r="B633">
        <v>1</v>
      </c>
      <c r="C633" t="s">
        <v>541</v>
      </c>
      <c r="D633" t="s">
        <v>10</v>
      </c>
      <c r="E633" t="s">
        <v>364</v>
      </c>
      <c r="F633" t="s">
        <v>365</v>
      </c>
      <c r="G633" t="s">
        <v>346</v>
      </c>
      <c r="I633" s="37">
        <v>801.99</v>
      </c>
      <c r="J633" s="37">
        <v>30</v>
      </c>
      <c r="L633" s="37">
        <v>831.99</v>
      </c>
      <c r="N633" s="37">
        <v>831.99</v>
      </c>
    </row>
    <row r="634" spans="1:14" x14ac:dyDescent="0.25">
      <c r="A634" s="1">
        <v>46056</v>
      </c>
      <c r="B634">
        <v>1</v>
      </c>
      <c r="C634" t="s">
        <v>541</v>
      </c>
      <c r="D634" t="s">
        <v>10</v>
      </c>
      <c r="E634" t="s">
        <v>366</v>
      </c>
      <c r="F634" t="s">
        <v>52</v>
      </c>
      <c r="G634" t="s">
        <v>346</v>
      </c>
      <c r="I634" s="37">
        <v>1251.99</v>
      </c>
      <c r="L634" s="37">
        <v>1251.99</v>
      </c>
      <c r="N634" s="37">
        <v>1251.99</v>
      </c>
    </row>
    <row r="635" spans="1:14" x14ac:dyDescent="0.25">
      <c r="A635" s="1">
        <v>46056</v>
      </c>
      <c r="B635">
        <v>1</v>
      </c>
      <c r="C635" t="s">
        <v>541</v>
      </c>
      <c r="D635" t="s">
        <v>10</v>
      </c>
      <c r="E635" t="s">
        <v>375</v>
      </c>
      <c r="F635" t="s">
        <v>52</v>
      </c>
      <c r="G635" t="s">
        <v>346</v>
      </c>
      <c r="I635" s="37">
        <v>1251.99</v>
      </c>
      <c r="K635" s="37">
        <v>1251.99</v>
      </c>
      <c r="L635" s="37">
        <v>0</v>
      </c>
    </row>
    <row r="636" spans="1:14" x14ac:dyDescent="0.25">
      <c r="A636" s="1">
        <v>46056</v>
      </c>
      <c r="B636">
        <v>1</v>
      </c>
      <c r="C636" t="s">
        <v>541</v>
      </c>
      <c r="D636" t="s">
        <v>10</v>
      </c>
      <c r="E636" t="s">
        <v>376</v>
      </c>
      <c r="F636" t="s">
        <v>52</v>
      </c>
      <c r="G636" t="s">
        <v>346</v>
      </c>
      <c r="I636" s="37">
        <v>1251.99</v>
      </c>
      <c r="K636" s="37">
        <v>1.99</v>
      </c>
      <c r="L636" s="37">
        <v>1250</v>
      </c>
      <c r="N636" s="37">
        <v>1250</v>
      </c>
    </row>
    <row r="637" spans="1:14" x14ac:dyDescent="0.25">
      <c r="A637" s="1">
        <v>46056</v>
      </c>
      <c r="B637">
        <v>1</v>
      </c>
      <c r="C637" t="s">
        <v>541</v>
      </c>
      <c r="D637" t="s">
        <v>10</v>
      </c>
      <c r="E637" t="s">
        <v>372</v>
      </c>
      <c r="F637" t="s">
        <v>55</v>
      </c>
      <c r="G637" t="s">
        <v>373</v>
      </c>
      <c r="I637" s="37">
        <v>746.99</v>
      </c>
      <c r="L637" s="37">
        <v>746.99</v>
      </c>
      <c r="M637" s="37">
        <v>518.54</v>
      </c>
      <c r="N637" s="37">
        <v>746.99</v>
      </c>
    </row>
    <row r="638" spans="1:14" x14ac:dyDescent="0.25">
      <c r="A638" s="1">
        <v>46056</v>
      </c>
      <c r="B638">
        <v>1</v>
      </c>
      <c r="C638" t="s">
        <v>541</v>
      </c>
      <c r="D638" t="s">
        <v>10</v>
      </c>
      <c r="E638" t="s">
        <v>368</v>
      </c>
      <c r="F638" t="s">
        <v>369</v>
      </c>
      <c r="G638" t="s">
        <v>370</v>
      </c>
      <c r="I638" s="37">
        <v>981.99</v>
      </c>
      <c r="J638" s="37">
        <v>0.01</v>
      </c>
      <c r="L638" s="37">
        <v>982</v>
      </c>
      <c r="N638" s="37">
        <v>982</v>
      </c>
    </row>
    <row r="639" spans="1:14" x14ac:dyDescent="0.25">
      <c r="A639" s="1">
        <v>46056</v>
      </c>
      <c r="B639">
        <v>1</v>
      </c>
      <c r="C639" t="s">
        <v>541</v>
      </c>
      <c r="D639" t="s">
        <v>10</v>
      </c>
      <c r="E639" t="s">
        <v>371</v>
      </c>
      <c r="F639" t="s">
        <v>277</v>
      </c>
      <c r="G639" t="s">
        <v>370</v>
      </c>
      <c r="I639" s="37">
        <v>1051.99</v>
      </c>
      <c r="J639" s="37">
        <v>30</v>
      </c>
      <c r="L639" s="37">
        <v>1081.99</v>
      </c>
      <c r="N639" s="37">
        <v>1081.99</v>
      </c>
    </row>
    <row r="640" spans="1:14" x14ac:dyDescent="0.25">
      <c r="A640" s="1">
        <v>46056</v>
      </c>
      <c r="B640">
        <v>1</v>
      </c>
      <c r="C640" t="s">
        <v>541</v>
      </c>
      <c r="D640" t="s">
        <v>10</v>
      </c>
      <c r="E640" t="s">
        <v>377</v>
      </c>
      <c r="F640" t="s">
        <v>69</v>
      </c>
      <c r="G640" t="s">
        <v>378</v>
      </c>
      <c r="I640" s="37">
        <v>746.99</v>
      </c>
      <c r="J640" s="37">
        <v>3.01</v>
      </c>
      <c r="L640" s="37">
        <v>750</v>
      </c>
      <c r="N640" s="37">
        <v>750</v>
      </c>
    </row>
    <row r="641" spans="1:14" x14ac:dyDescent="0.25">
      <c r="A641" s="1">
        <v>46056</v>
      </c>
      <c r="B641">
        <v>1</v>
      </c>
      <c r="C641" t="s">
        <v>541</v>
      </c>
      <c r="D641" t="s">
        <v>10</v>
      </c>
      <c r="E641" t="s">
        <v>379</v>
      </c>
      <c r="F641" t="s">
        <v>41</v>
      </c>
      <c r="G641" t="s">
        <v>380</v>
      </c>
      <c r="I641" s="37">
        <v>746.99</v>
      </c>
      <c r="J641" s="37">
        <v>30.01</v>
      </c>
      <c r="L641" s="37">
        <v>777</v>
      </c>
      <c r="N641" s="37">
        <v>777</v>
      </c>
    </row>
    <row r="642" spans="1:14" x14ac:dyDescent="0.25">
      <c r="A642" s="1">
        <v>46056</v>
      </c>
      <c r="B642">
        <v>1</v>
      </c>
      <c r="C642" t="s">
        <v>541</v>
      </c>
      <c r="D642" t="s">
        <v>10</v>
      </c>
      <c r="E642" t="s">
        <v>381</v>
      </c>
      <c r="F642" t="s">
        <v>41</v>
      </c>
      <c r="G642" t="s">
        <v>380</v>
      </c>
      <c r="I642" s="37">
        <v>746.99</v>
      </c>
      <c r="J642" s="37">
        <v>60</v>
      </c>
      <c r="L642" s="37">
        <v>806.99</v>
      </c>
      <c r="N642" s="37">
        <v>806.99</v>
      </c>
    </row>
    <row r="643" spans="1:14" x14ac:dyDescent="0.25">
      <c r="A643" s="1">
        <v>46056</v>
      </c>
      <c r="B643">
        <v>1</v>
      </c>
      <c r="C643" t="s">
        <v>541</v>
      </c>
      <c r="D643" t="s">
        <v>10</v>
      </c>
      <c r="E643" t="s">
        <v>382</v>
      </c>
      <c r="F643" t="s">
        <v>383</v>
      </c>
      <c r="G643" t="s">
        <v>349</v>
      </c>
      <c r="I643" s="37">
        <v>981.99</v>
      </c>
      <c r="K643" s="37">
        <v>140.28</v>
      </c>
      <c r="L643" s="37">
        <v>841.71</v>
      </c>
      <c r="N643" s="37">
        <v>841.71</v>
      </c>
    </row>
    <row r="644" spans="1:14" x14ac:dyDescent="0.25">
      <c r="A644" s="1">
        <v>46056</v>
      </c>
      <c r="B644">
        <v>1</v>
      </c>
      <c r="C644" t="s">
        <v>542</v>
      </c>
      <c r="D644" t="s">
        <v>99</v>
      </c>
      <c r="E644" t="s">
        <v>384</v>
      </c>
      <c r="F644" t="s">
        <v>385</v>
      </c>
      <c r="G644" t="s">
        <v>349</v>
      </c>
      <c r="I644" s="37">
        <v>801.99</v>
      </c>
      <c r="L644" s="37">
        <v>801.99</v>
      </c>
    </row>
    <row r="645" spans="1:14" x14ac:dyDescent="0.25">
      <c r="A645" s="1">
        <v>46056</v>
      </c>
      <c r="B645">
        <v>1</v>
      </c>
      <c r="C645" t="s">
        <v>541</v>
      </c>
      <c r="D645" t="s">
        <v>10</v>
      </c>
      <c r="E645" t="s">
        <v>386</v>
      </c>
      <c r="F645" t="s">
        <v>387</v>
      </c>
      <c r="G645" t="s">
        <v>349</v>
      </c>
      <c r="I645" s="37">
        <v>801.99</v>
      </c>
      <c r="L645" s="37">
        <v>801.99</v>
      </c>
      <c r="N645" s="37">
        <v>801.99</v>
      </c>
    </row>
    <row r="646" spans="1:14" x14ac:dyDescent="0.25">
      <c r="A646" s="1">
        <v>46056</v>
      </c>
      <c r="B646">
        <v>1</v>
      </c>
      <c r="C646" t="s">
        <v>541</v>
      </c>
      <c r="D646" t="s">
        <v>10</v>
      </c>
      <c r="E646" t="s">
        <v>388</v>
      </c>
      <c r="F646" t="s">
        <v>41</v>
      </c>
      <c r="G646" t="s">
        <v>346</v>
      </c>
      <c r="I646" s="37">
        <v>746.99</v>
      </c>
      <c r="J646" s="37">
        <v>30.01</v>
      </c>
      <c r="L646" s="37">
        <v>777</v>
      </c>
      <c r="N646" s="37">
        <v>777</v>
      </c>
    </row>
    <row r="647" spans="1:14" x14ac:dyDescent="0.25">
      <c r="A647" s="1">
        <v>46056</v>
      </c>
      <c r="B647">
        <v>1</v>
      </c>
      <c r="C647" t="s">
        <v>541</v>
      </c>
      <c r="D647" t="s">
        <v>10</v>
      </c>
      <c r="E647" t="s">
        <v>389</v>
      </c>
      <c r="F647" t="s">
        <v>12</v>
      </c>
      <c r="G647" t="s">
        <v>346</v>
      </c>
      <c r="I647" s="37">
        <v>746.99</v>
      </c>
      <c r="J647" s="37">
        <v>30</v>
      </c>
      <c r="L647" s="37">
        <v>776.99</v>
      </c>
      <c r="N647" s="37">
        <v>776.99</v>
      </c>
    </row>
    <row r="648" spans="1:14" x14ac:dyDescent="0.25">
      <c r="A648" s="1">
        <v>46056</v>
      </c>
      <c r="B648">
        <v>1</v>
      </c>
      <c r="C648" t="s">
        <v>541</v>
      </c>
      <c r="D648" t="s">
        <v>10</v>
      </c>
      <c r="E648" t="s">
        <v>390</v>
      </c>
      <c r="F648" t="s">
        <v>12</v>
      </c>
      <c r="G648" t="s">
        <v>346</v>
      </c>
      <c r="I648" s="37">
        <v>746.99</v>
      </c>
      <c r="K648" s="37">
        <v>532.15</v>
      </c>
      <c r="L648" s="37">
        <v>214.84</v>
      </c>
      <c r="N648" s="37">
        <v>214.84</v>
      </c>
    </row>
    <row r="649" spans="1:14" x14ac:dyDescent="0.25">
      <c r="A649" s="1">
        <v>46056</v>
      </c>
      <c r="B649">
        <v>1</v>
      </c>
      <c r="C649" t="s">
        <v>541</v>
      </c>
      <c r="D649" t="s">
        <v>10</v>
      </c>
      <c r="E649" t="s">
        <v>524</v>
      </c>
      <c r="F649" t="s">
        <v>41</v>
      </c>
      <c r="G649" t="s">
        <v>420</v>
      </c>
      <c r="I649" s="37">
        <v>746.99</v>
      </c>
      <c r="L649" s="37">
        <v>791.99</v>
      </c>
      <c r="N649" s="37">
        <v>746.99</v>
      </c>
    </row>
    <row r="650" spans="1:14" x14ac:dyDescent="0.25">
      <c r="A650" s="1">
        <v>46056</v>
      </c>
      <c r="B650">
        <v>1</v>
      </c>
      <c r="C650" t="s">
        <v>541</v>
      </c>
      <c r="D650" t="s">
        <v>10</v>
      </c>
      <c r="E650" t="s">
        <v>391</v>
      </c>
      <c r="F650" t="s">
        <v>116</v>
      </c>
      <c r="G650" t="s">
        <v>346</v>
      </c>
      <c r="I650" s="37">
        <v>746.99</v>
      </c>
      <c r="K650" s="37">
        <v>1.99</v>
      </c>
      <c r="L650" s="37">
        <v>745</v>
      </c>
      <c r="N650" s="37">
        <v>745</v>
      </c>
    </row>
    <row r="651" spans="1:14" x14ac:dyDescent="0.25">
      <c r="A651" s="1">
        <v>46056</v>
      </c>
      <c r="B651">
        <v>1</v>
      </c>
      <c r="C651" t="s">
        <v>541</v>
      </c>
      <c r="D651" t="s">
        <v>10</v>
      </c>
      <c r="E651" t="s">
        <v>392</v>
      </c>
      <c r="F651" t="s">
        <v>393</v>
      </c>
      <c r="G651" t="s">
        <v>349</v>
      </c>
      <c r="I651" s="37">
        <v>896.99</v>
      </c>
      <c r="K651" s="37">
        <v>128.13999999999999</v>
      </c>
      <c r="L651" s="37">
        <v>768.85</v>
      </c>
      <c r="N651" s="37">
        <v>768.85</v>
      </c>
    </row>
    <row r="652" spans="1:14" x14ac:dyDescent="0.25">
      <c r="A652" s="1">
        <v>46056</v>
      </c>
      <c r="B652">
        <v>1</v>
      </c>
      <c r="C652" t="s">
        <v>541</v>
      </c>
      <c r="D652" t="s">
        <v>10</v>
      </c>
      <c r="E652" t="s">
        <v>394</v>
      </c>
      <c r="F652" t="s">
        <v>230</v>
      </c>
      <c r="G652" t="s">
        <v>346</v>
      </c>
      <c r="I652" s="37">
        <v>746.99</v>
      </c>
      <c r="J652" s="37">
        <v>30.01</v>
      </c>
      <c r="L652" s="37">
        <v>777</v>
      </c>
      <c r="N652" s="37">
        <v>726</v>
      </c>
    </row>
    <row r="653" spans="1:14" x14ac:dyDescent="0.25">
      <c r="A653" s="1">
        <v>46056</v>
      </c>
      <c r="B653">
        <v>1</v>
      </c>
      <c r="C653" t="s">
        <v>541</v>
      </c>
      <c r="D653" t="s">
        <v>10</v>
      </c>
      <c r="E653" t="s">
        <v>395</v>
      </c>
      <c r="F653" t="s">
        <v>116</v>
      </c>
      <c r="G653" t="s">
        <v>346</v>
      </c>
      <c r="I653" s="37">
        <v>746.99</v>
      </c>
      <c r="J653" s="37">
        <v>29.01</v>
      </c>
      <c r="L653" s="37">
        <v>776</v>
      </c>
      <c r="N653" s="37">
        <v>776</v>
      </c>
    </row>
    <row r="654" spans="1:14" x14ac:dyDescent="0.25">
      <c r="A654" s="1">
        <v>46056</v>
      </c>
      <c r="B654">
        <v>1</v>
      </c>
      <c r="C654" t="s">
        <v>541</v>
      </c>
      <c r="D654" t="s">
        <v>10</v>
      </c>
      <c r="E654" t="s">
        <v>396</v>
      </c>
      <c r="F654" t="s">
        <v>55</v>
      </c>
      <c r="G654" t="s">
        <v>346</v>
      </c>
      <c r="I654" s="37">
        <v>746.99</v>
      </c>
      <c r="L654" s="37">
        <v>746.99</v>
      </c>
      <c r="N654" s="37">
        <v>746.99</v>
      </c>
    </row>
    <row r="655" spans="1:14" x14ac:dyDescent="0.25">
      <c r="A655" s="1">
        <v>46056</v>
      </c>
      <c r="B655">
        <v>1</v>
      </c>
      <c r="C655" t="s">
        <v>541</v>
      </c>
      <c r="D655" t="s">
        <v>10</v>
      </c>
      <c r="E655" t="s">
        <v>397</v>
      </c>
      <c r="F655" t="s">
        <v>41</v>
      </c>
      <c r="G655" t="s">
        <v>398</v>
      </c>
      <c r="I655" s="37">
        <v>746.99</v>
      </c>
      <c r="J655" s="37">
        <v>60</v>
      </c>
      <c r="L655" s="37">
        <v>806.99</v>
      </c>
      <c r="N655" s="37">
        <v>806.99</v>
      </c>
    </row>
    <row r="656" spans="1:14" x14ac:dyDescent="0.25">
      <c r="A656" s="1">
        <v>46056</v>
      </c>
      <c r="B656">
        <v>1</v>
      </c>
      <c r="C656" t="s">
        <v>541</v>
      </c>
      <c r="D656" t="s">
        <v>10</v>
      </c>
      <c r="E656" t="s">
        <v>399</v>
      </c>
      <c r="F656" t="s">
        <v>12</v>
      </c>
      <c r="G656" t="s">
        <v>346</v>
      </c>
      <c r="I656" s="37">
        <v>746.99</v>
      </c>
      <c r="J656" s="37">
        <v>60.01</v>
      </c>
      <c r="L656" s="37">
        <v>807</v>
      </c>
      <c r="N656" s="37">
        <v>807</v>
      </c>
    </row>
    <row r="657" spans="1:14" x14ac:dyDescent="0.25">
      <c r="A657" s="1">
        <v>46056</v>
      </c>
      <c r="B657">
        <v>1</v>
      </c>
      <c r="C657" t="s">
        <v>541</v>
      </c>
      <c r="D657" t="s">
        <v>10</v>
      </c>
      <c r="E657" t="s">
        <v>400</v>
      </c>
      <c r="F657" t="s">
        <v>158</v>
      </c>
      <c r="G657" t="s">
        <v>346</v>
      </c>
      <c r="I657" s="37">
        <v>746.99</v>
      </c>
      <c r="L657" s="37">
        <v>746.99</v>
      </c>
      <c r="N657" s="37">
        <v>746.99</v>
      </c>
    </row>
    <row r="658" spans="1:14" x14ac:dyDescent="0.25">
      <c r="A658" s="1">
        <v>46056</v>
      </c>
      <c r="B658">
        <v>1</v>
      </c>
      <c r="C658" t="s">
        <v>541</v>
      </c>
      <c r="D658" t="s">
        <v>10</v>
      </c>
      <c r="E658" t="s">
        <v>401</v>
      </c>
      <c r="F658" t="s">
        <v>55</v>
      </c>
      <c r="G658" t="s">
        <v>346</v>
      </c>
      <c r="I658" s="37">
        <v>746.99</v>
      </c>
      <c r="J658" s="37">
        <v>60</v>
      </c>
      <c r="L658" s="37">
        <v>806.99</v>
      </c>
      <c r="N658" s="37">
        <v>806.99</v>
      </c>
    </row>
    <row r="659" spans="1:14" x14ac:dyDescent="0.25">
      <c r="A659" s="1">
        <v>46056</v>
      </c>
      <c r="B659">
        <v>1</v>
      </c>
      <c r="C659" t="s">
        <v>541</v>
      </c>
      <c r="D659" t="s">
        <v>10</v>
      </c>
      <c r="E659" t="s">
        <v>402</v>
      </c>
      <c r="F659" t="s">
        <v>403</v>
      </c>
      <c r="G659" t="s">
        <v>346</v>
      </c>
      <c r="I659" s="37">
        <v>1001.99</v>
      </c>
      <c r="J659" s="37">
        <v>28.01</v>
      </c>
      <c r="L659" s="37">
        <v>1030</v>
      </c>
      <c r="N659" s="37">
        <v>1030</v>
      </c>
    </row>
    <row r="660" spans="1:14" x14ac:dyDescent="0.25">
      <c r="A660" s="1">
        <v>46056</v>
      </c>
      <c r="B660">
        <v>1</v>
      </c>
      <c r="C660" t="s">
        <v>541</v>
      </c>
      <c r="D660" t="s">
        <v>10</v>
      </c>
      <c r="E660" t="s">
        <v>404</v>
      </c>
      <c r="F660" t="s">
        <v>55</v>
      </c>
      <c r="G660" t="s">
        <v>346</v>
      </c>
      <c r="I660" s="37">
        <v>746.99</v>
      </c>
      <c r="J660" s="37">
        <v>0.01</v>
      </c>
      <c r="L660" s="37">
        <v>747</v>
      </c>
      <c r="N660" s="37">
        <v>747</v>
      </c>
    </row>
    <row r="661" spans="1:14" x14ac:dyDescent="0.25">
      <c r="A661" s="1">
        <v>46056</v>
      </c>
      <c r="B661">
        <v>1</v>
      </c>
      <c r="C661" t="s">
        <v>541</v>
      </c>
      <c r="D661" t="s">
        <v>10</v>
      </c>
      <c r="E661" t="s">
        <v>405</v>
      </c>
      <c r="F661" t="s">
        <v>52</v>
      </c>
      <c r="G661" t="s">
        <v>346</v>
      </c>
      <c r="I661" s="37">
        <v>1251.99</v>
      </c>
      <c r="L661" s="37">
        <v>1251.99</v>
      </c>
      <c r="N661" s="37">
        <v>1251.99</v>
      </c>
    </row>
    <row r="662" spans="1:14" x14ac:dyDescent="0.25">
      <c r="A662" s="1">
        <v>46056</v>
      </c>
      <c r="B662">
        <v>1</v>
      </c>
      <c r="C662" t="s">
        <v>541</v>
      </c>
      <c r="D662" t="s">
        <v>10</v>
      </c>
      <c r="E662" t="s">
        <v>406</v>
      </c>
      <c r="F662" t="s">
        <v>407</v>
      </c>
      <c r="G662" t="s">
        <v>346</v>
      </c>
      <c r="I662" s="37">
        <v>801.99</v>
      </c>
      <c r="L662" s="37">
        <v>801.99</v>
      </c>
      <c r="N662" s="37">
        <v>801.99</v>
      </c>
    </row>
    <row r="663" spans="1:14" x14ac:dyDescent="0.25">
      <c r="A663" s="1">
        <v>46056</v>
      </c>
      <c r="B663">
        <v>1</v>
      </c>
      <c r="C663" t="s">
        <v>541</v>
      </c>
      <c r="D663" t="s">
        <v>10</v>
      </c>
      <c r="E663" t="s">
        <v>510</v>
      </c>
      <c r="F663" t="s">
        <v>55</v>
      </c>
      <c r="G663" t="s">
        <v>346</v>
      </c>
      <c r="I663" s="37">
        <v>746.99</v>
      </c>
      <c r="L663" s="37">
        <v>791.99</v>
      </c>
      <c r="N663" s="37">
        <v>746.99</v>
      </c>
    </row>
    <row r="664" spans="1:14" x14ac:dyDescent="0.25">
      <c r="A664" s="1">
        <v>46056</v>
      </c>
      <c r="B664">
        <v>1</v>
      </c>
      <c r="C664" t="s">
        <v>541</v>
      </c>
      <c r="D664" t="s">
        <v>10</v>
      </c>
      <c r="E664" t="s">
        <v>408</v>
      </c>
      <c r="F664" t="s">
        <v>52</v>
      </c>
      <c r="G664" t="s">
        <v>409</v>
      </c>
      <c r="I664" s="37">
        <v>1251.99</v>
      </c>
      <c r="J664" s="37">
        <v>58.01</v>
      </c>
      <c r="L664" s="37">
        <v>1310</v>
      </c>
      <c r="N664" s="37">
        <v>1310</v>
      </c>
    </row>
    <row r="665" spans="1:14" x14ac:dyDescent="0.25">
      <c r="A665" s="1">
        <v>46056</v>
      </c>
      <c r="B665">
        <v>1</v>
      </c>
      <c r="C665" t="s">
        <v>541</v>
      </c>
      <c r="D665" t="s">
        <v>10</v>
      </c>
      <c r="E665" t="s">
        <v>445</v>
      </c>
      <c r="F665" t="s">
        <v>52</v>
      </c>
      <c r="G665" t="s">
        <v>346</v>
      </c>
      <c r="I665" s="37">
        <v>1251.99</v>
      </c>
      <c r="L665" s="37">
        <v>1296.99</v>
      </c>
      <c r="N665" s="37">
        <v>1251.99</v>
      </c>
    </row>
    <row r="666" spans="1:14" x14ac:dyDescent="0.25">
      <c r="A666" s="1">
        <v>46056</v>
      </c>
      <c r="B666">
        <v>1</v>
      </c>
      <c r="C666" t="s">
        <v>541</v>
      </c>
      <c r="D666" t="s">
        <v>10</v>
      </c>
      <c r="E666" t="s">
        <v>410</v>
      </c>
      <c r="F666" t="s">
        <v>411</v>
      </c>
      <c r="G666" t="s">
        <v>346</v>
      </c>
      <c r="I666" s="37">
        <v>1251.99</v>
      </c>
      <c r="L666" s="37">
        <v>1296.99</v>
      </c>
      <c r="N666" s="37">
        <v>1251.99</v>
      </c>
    </row>
    <row r="667" spans="1:14" x14ac:dyDescent="0.25">
      <c r="A667" s="1">
        <v>46056</v>
      </c>
      <c r="B667">
        <v>1</v>
      </c>
      <c r="C667" t="s">
        <v>541</v>
      </c>
      <c r="D667" t="s">
        <v>10</v>
      </c>
      <c r="E667" t="s">
        <v>412</v>
      </c>
      <c r="F667" t="s">
        <v>403</v>
      </c>
      <c r="G667" t="s">
        <v>346</v>
      </c>
      <c r="I667" s="37">
        <v>931.99</v>
      </c>
      <c r="J667" s="37">
        <v>93.01</v>
      </c>
      <c r="L667" s="37">
        <v>1025</v>
      </c>
      <c r="N667" s="37">
        <v>1025</v>
      </c>
    </row>
    <row r="668" spans="1:14" x14ac:dyDescent="0.25">
      <c r="A668" s="1">
        <v>46056</v>
      </c>
      <c r="B668">
        <v>1</v>
      </c>
      <c r="C668" t="s">
        <v>541</v>
      </c>
      <c r="D668" t="s">
        <v>10</v>
      </c>
      <c r="E668" t="s">
        <v>503</v>
      </c>
      <c r="F668" t="s">
        <v>69</v>
      </c>
      <c r="G668" t="s">
        <v>349</v>
      </c>
      <c r="I668" s="37">
        <v>801.99</v>
      </c>
      <c r="L668" s="37">
        <v>846.99</v>
      </c>
      <c r="N668" s="37">
        <v>801.99</v>
      </c>
    </row>
    <row r="669" spans="1:14" x14ac:dyDescent="0.25">
      <c r="A669" s="1">
        <v>46056</v>
      </c>
      <c r="B669">
        <v>1</v>
      </c>
      <c r="C669" t="s">
        <v>541</v>
      </c>
      <c r="D669" t="s">
        <v>10</v>
      </c>
      <c r="E669" t="s">
        <v>413</v>
      </c>
      <c r="F669" t="s">
        <v>211</v>
      </c>
      <c r="G669" t="s">
        <v>414</v>
      </c>
      <c r="I669" s="37">
        <v>746.99</v>
      </c>
      <c r="J669" s="37">
        <v>53.01</v>
      </c>
      <c r="L669" s="37">
        <v>800</v>
      </c>
      <c r="N669" s="37">
        <v>800</v>
      </c>
    </row>
    <row r="670" spans="1:14" x14ac:dyDescent="0.25">
      <c r="A670" s="1">
        <v>46056</v>
      </c>
      <c r="B670">
        <v>1</v>
      </c>
      <c r="C670" t="s">
        <v>541</v>
      </c>
      <c r="D670" t="s">
        <v>10</v>
      </c>
      <c r="E670" t="s">
        <v>415</v>
      </c>
      <c r="F670" t="s">
        <v>416</v>
      </c>
      <c r="G670" t="s">
        <v>370</v>
      </c>
      <c r="I670" s="37">
        <v>931.99</v>
      </c>
      <c r="J670" s="37">
        <v>30.01</v>
      </c>
      <c r="L670" s="37">
        <v>962</v>
      </c>
      <c r="N670" s="37">
        <v>962</v>
      </c>
    </row>
    <row r="671" spans="1:14" x14ac:dyDescent="0.25">
      <c r="A671" s="1">
        <v>46056</v>
      </c>
      <c r="B671">
        <v>1</v>
      </c>
      <c r="C671" t="s">
        <v>541</v>
      </c>
      <c r="D671" t="s">
        <v>336</v>
      </c>
      <c r="E671" t="s">
        <v>521</v>
      </c>
      <c r="F671" t="s">
        <v>522</v>
      </c>
      <c r="G671" t="s">
        <v>523</v>
      </c>
      <c r="I671" s="37">
        <v>851.99</v>
      </c>
      <c r="L671" s="37">
        <v>851.99</v>
      </c>
      <c r="N671" s="37">
        <v>841.99</v>
      </c>
    </row>
    <row r="672" spans="1:14" x14ac:dyDescent="0.25">
      <c r="A672" s="1">
        <v>46056</v>
      </c>
      <c r="B672">
        <v>1</v>
      </c>
      <c r="C672" t="s">
        <v>541</v>
      </c>
      <c r="D672" t="s">
        <v>10</v>
      </c>
      <c r="E672" t="s">
        <v>419</v>
      </c>
      <c r="F672" t="s">
        <v>94</v>
      </c>
      <c r="G672" t="s">
        <v>420</v>
      </c>
      <c r="I672" s="37">
        <v>746.99</v>
      </c>
      <c r="J672" s="37">
        <v>28.01</v>
      </c>
      <c r="L672" s="37">
        <v>775</v>
      </c>
      <c r="N672" s="37">
        <v>775</v>
      </c>
    </row>
    <row r="673" spans="1:14" x14ac:dyDescent="0.25">
      <c r="A673" s="1">
        <v>46056</v>
      </c>
      <c r="B673">
        <v>1</v>
      </c>
      <c r="C673" t="s">
        <v>541</v>
      </c>
      <c r="D673" t="s">
        <v>10</v>
      </c>
      <c r="E673" t="s">
        <v>421</v>
      </c>
      <c r="F673" t="s">
        <v>422</v>
      </c>
      <c r="G673" t="s">
        <v>346</v>
      </c>
      <c r="I673" s="37">
        <v>1251.99</v>
      </c>
      <c r="J673" s="37">
        <v>58.01</v>
      </c>
      <c r="L673" s="37">
        <v>1310</v>
      </c>
      <c r="N673" s="37">
        <v>1310</v>
      </c>
    </row>
    <row r="674" spans="1:14" x14ac:dyDescent="0.25">
      <c r="A674" s="1">
        <v>46056</v>
      </c>
      <c r="B674">
        <v>1</v>
      </c>
      <c r="C674" t="s">
        <v>541</v>
      </c>
      <c r="D674" t="s">
        <v>10</v>
      </c>
      <c r="E674" t="s">
        <v>501</v>
      </c>
      <c r="F674" t="s">
        <v>12</v>
      </c>
      <c r="G674" t="s">
        <v>346</v>
      </c>
      <c r="I674" s="37">
        <v>746.99</v>
      </c>
      <c r="L674" s="37">
        <v>791.99</v>
      </c>
      <c r="N674" s="37">
        <v>746.99</v>
      </c>
    </row>
    <row r="675" spans="1:14" x14ac:dyDescent="0.25">
      <c r="A675" s="1">
        <v>46056</v>
      </c>
      <c r="B675">
        <v>1</v>
      </c>
      <c r="C675" t="s">
        <v>541</v>
      </c>
      <c r="D675" t="s">
        <v>10</v>
      </c>
      <c r="E675" t="s">
        <v>418</v>
      </c>
      <c r="F675" t="s">
        <v>33</v>
      </c>
      <c r="G675" t="s">
        <v>346</v>
      </c>
      <c r="I675" s="37">
        <v>851.99</v>
      </c>
      <c r="L675" s="37">
        <v>851.99</v>
      </c>
      <c r="N675" s="37">
        <v>851.99</v>
      </c>
    </row>
    <row r="676" spans="1:14" x14ac:dyDescent="0.25">
      <c r="A676" s="1">
        <v>46056</v>
      </c>
      <c r="B676">
        <v>1</v>
      </c>
      <c r="C676" t="s">
        <v>541</v>
      </c>
      <c r="D676" t="s">
        <v>10</v>
      </c>
      <c r="E676" t="s">
        <v>423</v>
      </c>
      <c r="F676" t="s">
        <v>12</v>
      </c>
      <c r="G676" t="s">
        <v>346</v>
      </c>
      <c r="I676" s="37">
        <v>746.99</v>
      </c>
      <c r="J676" s="37">
        <v>30</v>
      </c>
      <c r="L676" s="37">
        <v>776.99</v>
      </c>
      <c r="N676" s="37">
        <v>776.99</v>
      </c>
    </row>
    <row r="677" spans="1:14" x14ac:dyDescent="0.25">
      <c r="A677" s="1">
        <v>46056</v>
      </c>
      <c r="B677">
        <v>1</v>
      </c>
      <c r="C677" t="s">
        <v>541</v>
      </c>
      <c r="D677" t="s">
        <v>10</v>
      </c>
      <c r="E677" t="s">
        <v>424</v>
      </c>
      <c r="F677" t="s">
        <v>12</v>
      </c>
      <c r="G677" t="s">
        <v>346</v>
      </c>
      <c r="I677" s="37">
        <v>746.99</v>
      </c>
      <c r="J677" s="37">
        <v>30.01</v>
      </c>
      <c r="L677" s="37">
        <v>777</v>
      </c>
      <c r="N677" s="37">
        <v>777</v>
      </c>
    </row>
    <row r="678" spans="1:14" x14ac:dyDescent="0.25">
      <c r="A678" s="1">
        <v>46056</v>
      </c>
      <c r="B678">
        <v>1</v>
      </c>
      <c r="C678" t="s">
        <v>541</v>
      </c>
      <c r="D678" t="s">
        <v>10</v>
      </c>
      <c r="E678" t="s">
        <v>425</v>
      </c>
      <c r="F678" t="s">
        <v>426</v>
      </c>
      <c r="G678" t="s">
        <v>349</v>
      </c>
      <c r="I678" s="37">
        <v>881.99</v>
      </c>
      <c r="L678" s="37">
        <v>881.99</v>
      </c>
      <c r="N678" s="37">
        <v>881.99</v>
      </c>
    </row>
    <row r="679" spans="1:14" x14ac:dyDescent="0.25">
      <c r="A679" s="1">
        <v>46056</v>
      </c>
      <c r="B679">
        <v>1</v>
      </c>
      <c r="C679" t="s">
        <v>541</v>
      </c>
      <c r="D679" t="s">
        <v>10</v>
      </c>
      <c r="E679" t="s">
        <v>519</v>
      </c>
      <c r="F679" t="s">
        <v>520</v>
      </c>
      <c r="G679" t="s">
        <v>349</v>
      </c>
      <c r="I679" s="37">
        <v>746.99</v>
      </c>
      <c r="L679" s="37">
        <v>791.99</v>
      </c>
      <c r="N679" s="37">
        <v>746.99</v>
      </c>
    </row>
    <row r="680" spans="1:14" x14ac:dyDescent="0.25">
      <c r="A680" s="1">
        <v>46056</v>
      </c>
      <c r="B680">
        <v>1</v>
      </c>
      <c r="C680" t="s">
        <v>541</v>
      </c>
      <c r="D680" t="s">
        <v>10</v>
      </c>
      <c r="E680" t="s">
        <v>427</v>
      </c>
      <c r="F680" t="s">
        <v>116</v>
      </c>
      <c r="G680" t="s">
        <v>363</v>
      </c>
      <c r="I680" s="37">
        <v>746.99</v>
      </c>
      <c r="L680" s="37">
        <v>746.99</v>
      </c>
      <c r="N680" s="37">
        <v>746.99</v>
      </c>
    </row>
    <row r="681" spans="1:14" x14ac:dyDescent="0.25">
      <c r="A681" s="1">
        <v>46056</v>
      </c>
      <c r="B681">
        <v>1</v>
      </c>
      <c r="C681" t="s">
        <v>541</v>
      </c>
      <c r="D681" t="s">
        <v>10</v>
      </c>
      <c r="E681" t="s">
        <v>428</v>
      </c>
      <c r="F681" t="s">
        <v>69</v>
      </c>
      <c r="G681" t="s">
        <v>378</v>
      </c>
      <c r="I681" s="37">
        <v>746.99</v>
      </c>
      <c r="K681" s="37">
        <v>1.99</v>
      </c>
      <c r="L681" s="37">
        <v>745</v>
      </c>
      <c r="N681" s="37">
        <v>745</v>
      </c>
    </row>
    <row r="682" spans="1:14" x14ac:dyDescent="0.25">
      <c r="A682" s="1">
        <v>46056</v>
      </c>
      <c r="B682">
        <v>1</v>
      </c>
      <c r="C682" t="s">
        <v>542</v>
      </c>
      <c r="D682" t="s">
        <v>99</v>
      </c>
      <c r="E682" t="s">
        <v>429</v>
      </c>
      <c r="F682" t="s">
        <v>158</v>
      </c>
      <c r="G682" t="s">
        <v>346</v>
      </c>
      <c r="I682" s="37">
        <v>746.99</v>
      </c>
      <c r="L682" s="37">
        <v>746.99</v>
      </c>
    </row>
    <row r="683" spans="1:14" x14ac:dyDescent="0.25">
      <c r="A683" s="1">
        <v>46056</v>
      </c>
      <c r="B683">
        <v>1</v>
      </c>
      <c r="C683" t="s">
        <v>541</v>
      </c>
      <c r="D683" t="s">
        <v>10</v>
      </c>
      <c r="E683" t="s">
        <v>525</v>
      </c>
      <c r="F683" t="s">
        <v>158</v>
      </c>
      <c r="G683" t="s">
        <v>346</v>
      </c>
      <c r="I683" s="37">
        <v>746.99</v>
      </c>
      <c r="L683" s="37">
        <v>791.99</v>
      </c>
      <c r="N683" s="37">
        <v>746.99</v>
      </c>
    </row>
    <row r="684" spans="1:14" x14ac:dyDescent="0.25">
      <c r="A684" s="1">
        <v>46056</v>
      </c>
      <c r="B684">
        <v>1</v>
      </c>
      <c r="C684" t="s">
        <v>541</v>
      </c>
      <c r="D684" t="s">
        <v>10</v>
      </c>
      <c r="E684" t="s">
        <v>430</v>
      </c>
      <c r="F684" t="s">
        <v>158</v>
      </c>
      <c r="G684" t="s">
        <v>346</v>
      </c>
      <c r="I684" s="37">
        <v>746.99</v>
      </c>
      <c r="K684" s="37">
        <v>212.86</v>
      </c>
      <c r="L684" s="37">
        <v>534.13</v>
      </c>
      <c r="N684" s="37">
        <v>534.13</v>
      </c>
    </row>
    <row r="685" spans="1:14" x14ac:dyDescent="0.25">
      <c r="A685" s="1">
        <v>46056</v>
      </c>
      <c r="B685">
        <v>1</v>
      </c>
      <c r="C685" t="s">
        <v>541</v>
      </c>
      <c r="D685" t="s">
        <v>10</v>
      </c>
      <c r="E685" t="s">
        <v>431</v>
      </c>
      <c r="F685" t="s">
        <v>158</v>
      </c>
      <c r="G685" t="s">
        <v>346</v>
      </c>
      <c r="I685" s="37">
        <v>746.99</v>
      </c>
      <c r="K685" s="37">
        <v>1.99</v>
      </c>
      <c r="L685" s="37">
        <v>745</v>
      </c>
      <c r="N685" s="37">
        <v>745</v>
      </c>
    </row>
    <row r="686" spans="1:14" x14ac:dyDescent="0.25">
      <c r="A686" s="1">
        <v>46056</v>
      </c>
      <c r="B686">
        <v>1</v>
      </c>
      <c r="C686" t="s">
        <v>541</v>
      </c>
      <c r="D686" t="s">
        <v>10</v>
      </c>
      <c r="E686" t="s">
        <v>432</v>
      </c>
      <c r="F686" t="s">
        <v>55</v>
      </c>
      <c r="G686" t="s">
        <v>433</v>
      </c>
      <c r="I686" s="37">
        <v>746.99</v>
      </c>
      <c r="J686" s="37">
        <v>30.01</v>
      </c>
      <c r="L686" s="37">
        <v>777</v>
      </c>
      <c r="M686" s="37">
        <v>199.49</v>
      </c>
      <c r="N686" s="37">
        <v>777</v>
      </c>
    </row>
    <row r="687" spans="1:14" x14ac:dyDescent="0.25">
      <c r="A687" s="1">
        <v>46056</v>
      </c>
      <c r="B687">
        <v>1</v>
      </c>
      <c r="C687" t="s">
        <v>541</v>
      </c>
      <c r="D687" t="s">
        <v>10</v>
      </c>
      <c r="E687" t="s">
        <v>434</v>
      </c>
      <c r="F687" t="s">
        <v>55</v>
      </c>
      <c r="G687" t="s">
        <v>346</v>
      </c>
      <c r="I687" s="37">
        <v>746.99</v>
      </c>
      <c r="L687" s="37">
        <v>746.99</v>
      </c>
      <c r="N687" s="37">
        <v>746.99</v>
      </c>
    </row>
    <row r="688" spans="1:14" x14ac:dyDescent="0.25">
      <c r="A688" s="1">
        <v>46056</v>
      </c>
      <c r="B688">
        <v>1</v>
      </c>
      <c r="C688" t="s">
        <v>541</v>
      </c>
      <c r="D688" t="s">
        <v>10</v>
      </c>
      <c r="E688" t="s">
        <v>435</v>
      </c>
      <c r="F688" t="s">
        <v>41</v>
      </c>
      <c r="G688" t="s">
        <v>398</v>
      </c>
      <c r="I688" s="37">
        <v>746.99</v>
      </c>
      <c r="J688" s="37">
        <v>60</v>
      </c>
      <c r="L688" s="37">
        <v>806.99</v>
      </c>
      <c r="N688" s="37">
        <v>806.99</v>
      </c>
    </row>
    <row r="689" spans="1:14" x14ac:dyDescent="0.25">
      <c r="A689" s="1">
        <v>46056</v>
      </c>
      <c r="B689">
        <v>1</v>
      </c>
      <c r="C689" t="s">
        <v>541</v>
      </c>
      <c r="D689" t="s">
        <v>10</v>
      </c>
      <c r="E689" t="s">
        <v>437</v>
      </c>
      <c r="F689" t="s">
        <v>12</v>
      </c>
      <c r="G689" t="s">
        <v>346</v>
      </c>
      <c r="I689" s="37">
        <v>746.99</v>
      </c>
      <c r="K689" s="37">
        <v>1.99</v>
      </c>
      <c r="L689" s="37">
        <v>745</v>
      </c>
      <c r="N689" s="37">
        <v>745</v>
      </c>
    </row>
    <row r="690" spans="1:14" x14ac:dyDescent="0.25">
      <c r="A690" s="1">
        <v>46056</v>
      </c>
      <c r="B690">
        <v>1</v>
      </c>
      <c r="C690" t="s">
        <v>541</v>
      </c>
      <c r="D690" t="s">
        <v>10</v>
      </c>
      <c r="E690" t="s">
        <v>438</v>
      </c>
      <c r="F690" t="s">
        <v>52</v>
      </c>
      <c r="G690" t="s">
        <v>359</v>
      </c>
      <c r="I690" s="37">
        <v>1251.99</v>
      </c>
      <c r="J690" s="37">
        <v>30</v>
      </c>
      <c r="L690" s="37">
        <v>1281.99</v>
      </c>
      <c r="N690" s="37">
        <v>1281.99</v>
      </c>
    </row>
    <row r="691" spans="1:14" x14ac:dyDescent="0.25">
      <c r="A691" s="1">
        <v>46056</v>
      </c>
      <c r="B691">
        <v>1</v>
      </c>
      <c r="C691" t="s">
        <v>541</v>
      </c>
      <c r="D691" t="s">
        <v>10</v>
      </c>
      <c r="E691" t="s">
        <v>439</v>
      </c>
      <c r="F691" t="s">
        <v>52</v>
      </c>
      <c r="G691" t="s">
        <v>346</v>
      </c>
      <c r="I691" s="37">
        <v>1251.99</v>
      </c>
      <c r="J691" s="37">
        <v>30</v>
      </c>
      <c r="L691" s="37">
        <v>1281.99</v>
      </c>
      <c r="N691" s="37">
        <v>1281.99</v>
      </c>
    </row>
    <row r="692" spans="1:14" x14ac:dyDescent="0.25">
      <c r="A692" s="1">
        <v>46056</v>
      </c>
      <c r="B692">
        <v>1</v>
      </c>
      <c r="C692" t="s">
        <v>541</v>
      </c>
      <c r="D692" t="s">
        <v>10</v>
      </c>
      <c r="E692" t="s">
        <v>440</v>
      </c>
      <c r="F692" t="s">
        <v>411</v>
      </c>
      <c r="G692" t="s">
        <v>346</v>
      </c>
      <c r="I692" s="37">
        <v>1251.99</v>
      </c>
      <c r="J692" s="37">
        <v>30</v>
      </c>
      <c r="L692" s="37">
        <v>1281.99</v>
      </c>
      <c r="N692" s="37">
        <v>1281.99</v>
      </c>
    </row>
    <row r="693" spans="1:14" x14ac:dyDescent="0.25">
      <c r="A693" s="1">
        <v>46056</v>
      </c>
      <c r="B693">
        <v>1</v>
      </c>
      <c r="C693" t="s">
        <v>541</v>
      </c>
      <c r="D693" t="s">
        <v>10</v>
      </c>
      <c r="E693" t="s">
        <v>441</v>
      </c>
      <c r="F693" t="s">
        <v>52</v>
      </c>
      <c r="G693" t="s">
        <v>346</v>
      </c>
      <c r="I693" s="37">
        <v>1251.99</v>
      </c>
      <c r="L693" s="37">
        <v>1251.99</v>
      </c>
      <c r="N693" s="37">
        <v>1251.99</v>
      </c>
    </row>
    <row r="694" spans="1:14" x14ac:dyDescent="0.25">
      <c r="A694" s="1">
        <v>46056</v>
      </c>
      <c r="B694">
        <v>1</v>
      </c>
      <c r="C694" t="s">
        <v>541</v>
      </c>
      <c r="D694" t="s">
        <v>10</v>
      </c>
      <c r="E694" t="s">
        <v>442</v>
      </c>
      <c r="F694" t="s">
        <v>52</v>
      </c>
      <c r="G694" t="s">
        <v>346</v>
      </c>
      <c r="I694" s="37">
        <v>1251.99</v>
      </c>
      <c r="K694" s="37">
        <v>1.99</v>
      </c>
      <c r="L694" s="37">
        <v>1250</v>
      </c>
      <c r="N694" s="37">
        <v>1250</v>
      </c>
    </row>
    <row r="695" spans="1:14" x14ac:dyDescent="0.25">
      <c r="A695" s="1">
        <v>46056</v>
      </c>
      <c r="B695">
        <v>1</v>
      </c>
      <c r="C695" t="s">
        <v>541</v>
      </c>
      <c r="D695" t="s">
        <v>10</v>
      </c>
      <c r="E695" t="s">
        <v>443</v>
      </c>
      <c r="F695" t="s">
        <v>52</v>
      </c>
      <c r="G695" t="s">
        <v>346</v>
      </c>
      <c r="I695" s="37">
        <v>1251.99</v>
      </c>
      <c r="J695" s="37">
        <v>70</v>
      </c>
      <c r="L695" s="37">
        <v>1321.99</v>
      </c>
      <c r="N695" s="37">
        <v>1321.99</v>
      </c>
    </row>
    <row r="696" spans="1:14" x14ac:dyDescent="0.25">
      <c r="A696" s="1">
        <v>46056</v>
      </c>
      <c r="B696">
        <v>1</v>
      </c>
      <c r="C696" t="s">
        <v>541</v>
      </c>
      <c r="D696" t="s">
        <v>10</v>
      </c>
      <c r="E696" t="s">
        <v>444</v>
      </c>
      <c r="F696" t="s">
        <v>52</v>
      </c>
      <c r="G696" t="s">
        <v>409</v>
      </c>
      <c r="I696" s="37">
        <v>1251.99</v>
      </c>
      <c r="J696" s="37">
        <v>28.01</v>
      </c>
      <c r="L696" s="37">
        <v>1280</v>
      </c>
      <c r="N696" s="37">
        <v>1280</v>
      </c>
    </row>
    <row r="697" spans="1:14" x14ac:dyDescent="0.25">
      <c r="A697" s="1">
        <v>46056</v>
      </c>
      <c r="B697">
        <v>1</v>
      </c>
      <c r="C697" t="s">
        <v>541</v>
      </c>
      <c r="D697" t="s">
        <v>10</v>
      </c>
      <c r="E697" t="s">
        <v>446</v>
      </c>
      <c r="F697" t="s">
        <v>447</v>
      </c>
      <c r="G697" t="s">
        <v>349</v>
      </c>
      <c r="I697" s="37">
        <v>851.99</v>
      </c>
      <c r="L697" s="37">
        <v>851.99</v>
      </c>
      <c r="N697" s="37">
        <v>851.99</v>
      </c>
    </row>
    <row r="698" spans="1:14" x14ac:dyDescent="0.25">
      <c r="A698" s="1">
        <v>46056</v>
      </c>
      <c r="B698">
        <v>1</v>
      </c>
      <c r="C698" t="s">
        <v>541</v>
      </c>
      <c r="D698" t="s">
        <v>10</v>
      </c>
      <c r="E698" t="s">
        <v>448</v>
      </c>
      <c r="F698" t="s">
        <v>255</v>
      </c>
      <c r="G698" t="s">
        <v>409</v>
      </c>
      <c r="I698" s="37">
        <v>801.99</v>
      </c>
      <c r="J698" s="37">
        <v>30.01</v>
      </c>
      <c r="L698" s="37">
        <v>832</v>
      </c>
      <c r="N698" s="37">
        <v>832</v>
      </c>
    </row>
    <row r="699" spans="1:14" x14ac:dyDescent="0.25">
      <c r="A699" s="1">
        <v>46056</v>
      </c>
      <c r="B699">
        <v>1</v>
      </c>
      <c r="C699" t="s">
        <v>541</v>
      </c>
      <c r="D699" t="s">
        <v>10</v>
      </c>
      <c r="E699" t="s">
        <v>507</v>
      </c>
      <c r="F699" t="s">
        <v>403</v>
      </c>
      <c r="G699" t="s">
        <v>346</v>
      </c>
      <c r="I699" s="37">
        <v>1000</v>
      </c>
      <c r="L699" s="37">
        <v>1000</v>
      </c>
      <c r="N699" s="37">
        <v>1000</v>
      </c>
    </row>
    <row r="700" spans="1:14" x14ac:dyDescent="0.25">
      <c r="A700" s="1">
        <v>46056</v>
      </c>
      <c r="B700">
        <v>1</v>
      </c>
      <c r="C700" t="s">
        <v>541</v>
      </c>
      <c r="D700" t="s">
        <v>10</v>
      </c>
      <c r="E700" t="s">
        <v>317</v>
      </c>
      <c r="F700" t="s">
        <v>101</v>
      </c>
      <c r="G700" t="s">
        <v>346</v>
      </c>
      <c r="I700" s="37">
        <v>1351.99</v>
      </c>
      <c r="L700" s="37">
        <v>1396.99</v>
      </c>
      <c r="N700" s="37">
        <v>1351.99</v>
      </c>
    </row>
    <row r="701" spans="1:14" x14ac:dyDescent="0.25">
      <c r="A701" s="1">
        <v>46056</v>
      </c>
      <c r="B701">
        <v>1</v>
      </c>
      <c r="C701" t="s">
        <v>541</v>
      </c>
      <c r="D701" t="s">
        <v>10</v>
      </c>
      <c r="E701" t="s">
        <v>449</v>
      </c>
      <c r="F701" t="s">
        <v>41</v>
      </c>
      <c r="G701" t="s">
        <v>349</v>
      </c>
      <c r="I701" s="37">
        <v>746.99</v>
      </c>
      <c r="L701" s="37">
        <v>746.99</v>
      </c>
      <c r="N701" s="37">
        <v>746.99</v>
      </c>
    </row>
    <row r="702" spans="1:14" x14ac:dyDescent="0.25">
      <c r="A702" s="1">
        <v>46056</v>
      </c>
      <c r="B702">
        <v>1</v>
      </c>
      <c r="C702" t="s">
        <v>541</v>
      </c>
      <c r="D702" t="s">
        <v>10</v>
      </c>
      <c r="E702" t="s">
        <v>450</v>
      </c>
      <c r="F702" t="s">
        <v>451</v>
      </c>
      <c r="G702" t="s">
        <v>346</v>
      </c>
      <c r="I702" s="37">
        <v>1351.99</v>
      </c>
      <c r="J702" s="37">
        <v>30.01</v>
      </c>
      <c r="L702" s="37">
        <v>1382</v>
      </c>
      <c r="N702" s="37">
        <v>1382</v>
      </c>
    </row>
    <row r="703" spans="1:14" x14ac:dyDescent="0.25">
      <c r="A703" s="1">
        <v>46056</v>
      </c>
      <c r="B703">
        <v>1</v>
      </c>
      <c r="C703" t="s">
        <v>541</v>
      </c>
      <c r="D703" t="s">
        <v>10</v>
      </c>
      <c r="E703" t="s">
        <v>452</v>
      </c>
      <c r="F703" t="s">
        <v>12</v>
      </c>
      <c r="G703" t="s">
        <v>346</v>
      </c>
      <c r="I703" s="37">
        <v>746.99</v>
      </c>
      <c r="J703" s="37">
        <v>30</v>
      </c>
      <c r="L703" s="37">
        <v>776.99</v>
      </c>
      <c r="N703" s="37">
        <v>776.99</v>
      </c>
    </row>
    <row r="704" spans="1:14" x14ac:dyDescent="0.25">
      <c r="A704" s="1">
        <v>46056</v>
      </c>
      <c r="B704">
        <v>1</v>
      </c>
      <c r="C704" t="s">
        <v>541</v>
      </c>
      <c r="D704" t="s">
        <v>10</v>
      </c>
      <c r="E704" t="s">
        <v>453</v>
      </c>
      <c r="F704" t="s">
        <v>387</v>
      </c>
      <c r="G704" t="s">
        <v>349</v>
      </c>
      <c r="I704" s="37">
        <v>801.99</v>
      </c>
      <c r="L704" s="37">
        <v>801.99</v>
      </c>
      <c r="N704" s="37">
        <v>801.99</v>
      </c>
    </row>
    <row r="705" spans="1:14" x14ac:dyDescent="0.25">
      <c r="A705" s="1">
        <v>46056</v>
      </c>
      <c r="B705">
        <v>1</v>
      </c>
      <c r="C705" t="s">
        <v>541</v>
      </c>
      <c r="D705" t="s">
        <v>10</v>
      </c>
      <c r="E705" t="s">
        <v>499</v>
      </c>
      <c r="F705" t="s">
        <v>500</v>
      </c>
      <c r="G705" t="s">
        <v>363</v>
      </c>
      <c r="I705" s="37">
        <v>1100</v>
      </c>
      <c r="L705" s="37">
        <v>1100</v>
      </c>
      <c r="N705" s="37">
        <v>1100</v>
      </c>
    </row>
    <row r="706" spans="1:14" x14ac:dyDescent="0.25">
      <c r="A706" s="1">
        <v>46056</v>
      </c>
      <c r="B706">
        <v>1</v>
      </c>
      <c r="C706" t="s">
        <v>541</v>
      </c>
      <c r="D706" t="s">
        <v>10</v>
      </c>
      <c r="E706" t="s">
        <v>454</v>
      </c>
      <c r="F706" t="s">
        <v>455</v>
      </c>
      <c r="G706" t="s">
        <v>349</v>
      </c>
      <c r="I706" s="37">
        <v>831.99</v>
      </c>
      <c r="J706" s="37">
        <v>30.01</v>
      </c>
      <c r="L706" s="37">
        <v>862</v>
      </c>
      <c r="N706" s="37">
        <v>862</v>
      </c>
    </row>
    <row r="707" spans="1:14" x14ac:dyDescent="0.25">
      <c r="A707" s="1">
        <v>46056</v>
      </c>
      <c r="B707">
        <v>1</v>
      </c>
      <c r="C707" t="s">
        <v>541</v>
      </c>
      <c r="D707" t="s">
        <v>10</v>
      </c>
      <c r="E707" t="s">
        <v>456</v>
      </c>
      <c r="F707" t="s">
        <v>41</v>
      </c>
      <c r="G707" t="s">
        <v>457</v>
      </c>
      <c r="I707" s="37">
        <v>746.99</v>
      </c>
      <c r="J707" s="37">
        <v>30</v>
      </c>
      <c r="L707" s="37">
        <v>776.99</v>
      </c>
      <c r="M707" s="37">
        <v>550</v>
      </c>
      <c r="N707" s="37">
        <v>776.99</v>
      </c>
    </row>
    <row r="708" spans="1:14" x14ac:dyDescent="0.25">
      <c r="A708" s="1">
        <v>46056</v>
      </c>
      <c r="B708">
        <v>1</v>
      </c>
      <c r="C708" t="s">
        <v>541</v>
      </c>
      <c r="D708" t="s">
        <v>10</v>
      </c>
      <c r="E708" t="s">
        <v>458</v>
      </c>
      <c r="F708" t="s">
        <v>41</v>
      </c>
      <c r="G708" t="s">
        <v>380</v>
      </c>
      <c r="I708" s="37">
        <v>746.99</v>
      </c>
      <c r="K708" s="37">
        <v>1.99</v>
      </c>
      <c r="L708" s="37">
        <v>745</v>
      </c>
      <c r="N708" s="37">
        <v>745</v>
      </c>
    </row>
    <row r="709" spans="1:14" x14ac:dyDescent="0.25">
      <c r="A709" s="1">
        <v>46056</v>
      </c>
      <c r="B709">
        <v>1</v>
      </c>
      <c r="C709" t="s">
        <v>542</v>
      </c>
      <c r="D709" t="s">
        <v>136</v>
      </c>
      <c r="E709" t="s">
        <v>459</v>
      </c>
      <c r="F709" t="s">
        <v>426</v>
      </c>
      <c r="G709" t="s">
        <v>363</v>
      </c>
      <c r="I709" s="37">
        <v>746.99</v>
      </c>
      <c r="L709" s="37">
        <v>746.99</v>
      </c>
    </row>
    <row r="710" spans="1:14" x14ac:dyDescent="0.25">
      <c r="A710" s="1">
        <v>46056</v>
      </c>
      <c r="B710">
        <v>1</v>
      </c>
      <c r="C710" t="s">
        <v>541</v>
      </c>
      <c r="D710" t="s">
        <v>10</v>
      </c>
      <c r="E710" t="s">
        <v>495</v>
      </c>
      <c r="F710" t="s">
        <v>33</v>
      </c>
      <c r="G710" t="s">
        <v>349</v>
      </c>
      <c r="I710" s="37">
        <v>901.99</v>
      </c>
      <c r="J710" s="37">
        <v>148.01</v>
      </c>
      <c r="L710" s="37">
        <v>1050</v>
      </c>
      <c r="N710" s="37">
        <v>1050</v>
      </c>
    </row>
    <row r="711" spans="1:14" x14ac:dyDescent="0.25">
      <c r="A711" s="1">
        <v>46056</v>
      </c>
      <c r="B711">
        <v>1</v>
      </c>
      <c r="C711" t="s">
        <v>541</v>
      </c>
      <c r="D711" t="s">
        <v>10</v>
      </c>
      <c r="E711" t="s">
        <v>460</v>
      </c>
      <c r="F711" t="s">
        <v>41</v>
      </c>
      <c r="G711" t="s">
        <v>346</v>
      </c>
      <c r="I711" s="37">
        <v>746.99</v>
      </c>
      <c r="K711" s="37">
        <v>106.43</v>
      </c>
      <c r="L711" s="37">
        <v>640.55999999999995</v>
      </c>
      <c r="N711" s="37">
        <v>640.55999999999995</v>
      </c>
    </row>
    <row r="712" spans="1:14" x14ac:dyDescent="0.25">
      <c r="A712" s="1">
        <v>46056</v>
      </c>
      <c r="B712">
        <v>1</v>
      </c>
      <c r="C712" t="s">
        <v>541</v>
      </c>
      <c r="D712" t="s">
        <v>10</v>
      </c>
      <c r="E712" t="s">
        <v>461</v>
      </c>
      <c r="F712" t="s">
        <v>41</v>
      </c>
      <c r="G712" t="s">
        <v>462</v>
      </c>
      <c r="I712" s="37">
        <v>746.99</v>
      </c>
      <c r="K712" s="37">
        <v>212.86</v>
      </c>
      <c r="L712" s="37">
        <v>534.13</v>
      </c>
      <c r="N712" s="37">
        <v>534.13</v>
      </c>
    </row>
    <row r="713" spans="1:14" x14ac:dyDescent="0.25">
      <c r="A713" s="1">
        <v>46056</v>
      </c>
      <c r="B713">
        <v>1</v>
      </c>
      <c r="C713" t="s">
        <v>541</v>
      </c>
      <c r="D713" t="s">
        <v>10</v>
      </c>
      <c r="E713" t="s">
        <v>463</v>
      </c>
      <c r="F713" t="s">
        <v>158</v>
      </c>
      <c r="G713" t="s">
        <v>346</v>
      </c>
      <c r="I713" s="37">
        <v>746.99</v>
      </c>
      <c r="K713" s="37">
        <v>1.99</v>
      </c>
      <c r="L713" s="37">
        <v>745</v>
      </c>
      <c r="N713" s="37">
        <v>745</v>
      </c>
    </row>
    <row r="714" spans="1:14" x14ac:dyDescent="0.25">
      <c r="A714" s="1">
        <v>46056</v>
      </c>
      <c r="B714">
        <v>1</v>
      </c>
      <c r="C714" t="s">
        <v>541</v>
      </c>
      <c r="D714" t="s">
        <v>10</v>
      </c>
      <c r="E714" t="s">
        <v>464</v>
      </c>
      <c r="F714" t="s">
        <v>55</v>
      </c>
      <c r="G714" t="s">
        <v>346</v>
      </c>
      <c r="I714" s="37">
        <v>746.99</v>
      </c>
      <c r="J714" s="37">
        <v>119.01</v>
      </c>
      <c r="L714" s="37">
        <v>866</v>
      </c>
      <c r="N714" s="37">
        <v>866</v>
      </c>
    </row>
    <row r="715" spans="1:14" x14ac:dyDescent="0.25">
      <c r="A715" s="1">
        <v>46056</v>
      </c>
      <c r="B715">
        <v>1</v>
      </c>
      <c r="C715" t="s">
        <v>541</v>
      </c>
      <c r="D715" t="s">
        <v>10</v>
      </c>
      <c r="E715" t="s">
        <v>465</v>
      </c>
      <c r="F715" t="s">
        <v>41</v>
      </c>
      <c r="G715" t="s">
        <v>346</v>
      </c>
      <c r="I715" s="37">
        <v>746.99</v>
      </c>
      <c r="J715" s="37">
        <v>30</v>
      </c>
      <c r="L715" s="37">
        <v>776.99</v>
      </c>
      <c r="N715" s="37">
        <v>776.99</v>
      </c>
    </row>
    <row r="716" spans="1:14" x14ac:dyDescent="0.25">
      <c r="A716" s="1">
        <v>46056</v>
      </c>
      <c r="B716">
        <v>1</v>
      </c>
      <c r="C716" t="s">
        <v>541</v>
      </c>
      <c r="D716" t="s">
        <v>10</v>
      </c>
      <c r="E716" t="s">
        <v>466</v>
      </c>
      <c r="F716" t="s">
        <v>33</v>
      </c>
      <c r="G716" t="s">
        <v>467</v>
      </c>
      <c r="I716" s="37">
        <v>851.99</v>
      </c>
      <c r="J716" s="37">
        <v>30.01</v>
      </c>
      <c r="L716" s="37">
        <v>882</v>
      </c>
      <c r="M716" s="37">
        <v>219.5</v>
      </c>
      <c r="N716" s="37">
        <v>882</v>
      </c>
    </row>
    <row r="717" spans="1:14" x14ac:dyDescent="0.25">
      <c r="A717" s="1">
        <v>46056</v>
      </c>
      <c r="B717">
        <v>1</v>
      </c>
      <c r="C717" t="s">
        <v>541</v>
      </c>
      <c r="D717" t="s">
        <v>10</v>
      </c>
      <c r="E717" t="s">
        <v>468</v>
      </c>
      <c r="F717" t="s">
        <v>469</v>
      </c>
      <c r="G717" t="s">
        <v>346</v>
      </c>
      <c r="I717" s="37">
        <v>1001.99</v>
      </c>
      <c r="L717" s="37">
        <v>1001.99</v>
      </c>
      <c r="N717" s="37">
        <v>1001.99</v>
      </c>
    </row>
    <row r="718" spans="1:14" x14ac:dyDescent="0.25">
      <c r="A718" s="1">
        <v>46056</v>
      </c>
      <c r="B718">
        <v>1</v>
      </c>
      <c r="C718" t="s">
        <v>541</v>
      </c>
      <c r="D718" t="s">
        <v>10</v>
      </c>
      <c r="E718" t="s">
        <v>470</v>
      </c>
      <c r="F718" t="s">
        <v>55</v>
      </c>
      <c r="G718" t="s">
        <v>346</v>
      </c>
      <c r="I718" s="37">
        <v>746.99</v>
      </c>
      <c r="K718" s="37">
        <v>1.99</v>
      </c>
      <c r="L718" s="37">
        <v>745</v>
      </c>
      <c r="N718" s="37">
        <v>745</v>
      </c>
    </row>
    <row r="719" spans="1:14" x14ac:dyDescent="0.25">
      <c r="A719" s="1">
        <v>46056</v>
      </c>
      <c r="B719">
        <v>1</v>
      </c>
      <c r="C719" t="s">
        <v>541</v>
      </c>
      <c r="D719" t="s">
        <v>10</v>
      </c>
      <c r="E719" t="s">
        <v>471</v>
      </c>
      <c r="F719" t="s">
        <v>472</v>
      </c>
      <c r="G719" t="s">
        <v>346</v>
      </c>
      <c r="I719" s="37">
        <v>746.99</v>
      </c>
      <c r="J719" s="37">
        <v>30.01</v>
      </c>
      <c r="L719" s="37">
        <v>777</v>
      </c>
      <c r="N719" s="37">
        <v>776.99</v>
      </c>
    </row>
    <row r="720" spans="1:14" x14ac:dyDescent="0.25">
      <c r="A720" s="1">
        <v>46056</v>
      </c>
      <c r="B720">
        <v>1</v>
      </c>
      <c r="C720" t="s">
        <v>542</v>
      </c>
      <c r="D720" t="s">
        <v>99</v>
      </c>
      <c r="E720" t="s">
        <v>473</v>
      </c>
      <c r="F720" t="s">
        <v>158</v>
      </c>
      <c r="G720" t="s">
        <v>346</v>
      </c>
      <c r="I720" s="37">
        <v>746.99</v>
      </c>
      <c r="L720" s="37">
        <v>746.99</v>
      </c>
    </row>
    <row r="721" spans="1:14" x14ac:dyDescent="0.25">
      <c r="A721" s="1">
        <v>46056</v>
      </c>
      <c r="B721">
        <v>1</v>
      </c>
      <c r="C721" t="s">
        <v>541</v>
      </c>
      <c r="D721" t="s">
        <v>10</v>
      </c>
      <c r="E721" t="s">
        <v>474</v>
      </c>
      <c r="F721" t="s">
        <v>230</v>
      </c>
      <c r="G721" t="s">
        <v>467</v>
      </c>
      <c r="I721" s="37">
        <v>746.99</v>
      </c>
      <c r="J721" s="37">
        <v>30</v>
      </c>
      <c r="L721" s="37">
        <v>776.99</v>
      </c>
      <c r="N721" s="37">
        <v>776.99</v>
      </c>
    </row>
    <row r="722" spans="1:14" x14ac:dyDescent="0.25">
      <c r="A722" s="1">
        <v>46056</v>
      </c>
      <c r="B722">
        <v>1</v>
      </c>
      <c r="C722" t="s">
        <v>541</v>
      </c>
      <c r="D722" t="s">
        <v>10</v>
      </c>
      <c r="E722" t="s">
        <v>477</v>
      </c>
      <c r="F722" t="s">
        <v>230</v>
      </c>
      <c r="G722" t="s">
        <v>346</v>
      </c>
      <c r="I722" s="37">
        <v>746.99</v>
      </c>
      <c r="L722" s="37">
        <v>746.99</v>
      </c>
      <c r="N722" s="37">
        <v>746.99</v>
      </c>
    </row>
    <row r="723" spans="1:14" x14ac:dyDescent="0.25">
      <c r="A723" s="1">
        <v>46056</v>
      </c>
      <c r="B723">
        <v>1</v>
      </c>
      <c r="C723" t="s">
        <v>541</v>
      </c>
      <c r="D723" t="s">
        <v>10</v>
      </c>
      <c r="E723" t="s">
        <v>478</v>
      </c>
      <c r="F723" t="s">
        <v>158</v>
      </c>
      <c r="G723" t="s">
        <v>346</v>
      </c>
      <c r="I723" s="37">
        <v>746.99</v>
      </c>
      <c r="L723" s="37">
        <v>746.99</v>
      </c>
      <c r="N723" s="37">
        <v>746.99</v>
      </c>
    </row>
    <row r="724" spans="1:14" x14ac:dyDescent="0.25">
      <c r="A724" s="1">
        <v>46056</v>
      </c>
      <c r="B724">
        <v>1</v>
      </c>
      <c r="C724" t="s">
        <v>541</v>
      </c>
      <c r="D724" t="s">
        <v>10</v>
      </c>
      <c r="E724" t="s">
        <v>479</v>
      </c>
      <c r="F724" t="s">
        <v>41</v>
      </c>
      <c r="G724" t="s">
        <v>398</v>
      </c>
      <c r="I724" s="37">
        <v>746.99</v>
      </c>
      <c r="J724" s="37">
        <v>30.01</v>
      </c>
      <c r="L724" s="37">
        <v>777</v>
      </c>
      <c r="N724" s="37">
        <v>777</v>
      </c>
    </row>
    <row r="725" spans="1:14" x14ac:dyDescent="0.25">
      <c r="A725" s="1">
        <v>46056</v>
      </c>
      <c r="B725">
        <v>1</v>
      </c>
      <c r="C725" t="s">
        <v>541</v>
      </c>
      <c r="D725" t="s">
        <v>10</v>
      </c>
      <c r="E725" t="s">
        <v>480</v>
      </c>
      <c r="F725" t="s">
        <v>158</v>
      </c>
      <c r="G725" t="s">
        <v>346</v>
      </c>
      <c r="I725" s="37">
        <v>746.99</v>
      </c>
      <c r="L725" s="37">
        <v>746.99</v>
      </c>
    </row>
    <row r="726" spans="1:14" x14ac:dyDescent="0.25">
      <c r="A726" s="1">
        <v>46056</v>
      </c>
      <c r="B726">
        <v>1</v>
      </c>
      <c r="C726" t="s">
        <v>541</v>
      </c>
      <c r="D726" t="s">
        <v>10</v>
      </c>
      <c r="E726" t="s">
        <v>481</v>
      </c>
      <c r="F726" t="s">
        <v>41</v>
      </c>
      <c r="G726" t="s">
        <v>398</v>
      </c>
      <c r="I726" s="37">
        <v>746.99</v>
      </c>
      <c r="L726" s="37">
        <v>746.99</v>
      </c>
      <c r="N726" s="37">
        <v>746.99</v>
      </c>
    </row>
    <row r="727" spans="1:14" x14ac:dyDescent="0.25">
      <c r="A727" s="1">
        <v>46056</v>
      </c>
      <c r="B727">
        <v>1</v>
      </c>
      <c r="C727" t="s">
        <v>542</v>
      </c>
      <c r="D727" t="s">
        <v>99</v>
      </c>
      <c r="E727" t="s">
        <v>482</v>
      </c>
      <c r="F727" t="s">
        <v>158</v>
      </c>
      <c r="G727" t="s">
        <v>346</v>
      </c>
      <c r="I727" s="37">
        <v>746.99</v>
      </c>
      <c r="L727" s="37">
        <v>746.99</v>
      </c>
    </row>
    <row r="728" spans="1:14" x14ac:dyDescent="0.25">
      <c r="A728" s="1">
        <v>46056</v>
      </c>
      <c r="B728">
        <v>1</v>
      </c>
      <c r="C728" t="s">
        <v>541</v>
      </c>
      <c r="D728" t="s">
        <v>10</v>
      </c>
      <c r="E728" t="s">
        <v>483</v>
      </c>
      <c r="F728" t="s">
        <v>158</v>
      </c>
      <c r="G728" t="s">
        <v>346</v>
      </c>
      <c r="I728" s="37">
        <v>746.99</v>
      </c>
      <c r="K728" s="37">
        <v>196.99</v>
      </c>
      <c r="L728" s="37">
        <v>550</v>
      </c>
      <c r="N728" s="37">
        <v>550</v>
      </c>
    </row>
    <row r="729" spans="1:14" x14ac:dyDescent="0.25">
      <c r="A729" s="1">
        <v>46056</v>
      </c>
      <c r="B729">
        <v>1</v>
      </c>
      <c r="C729" t="s">
        <v>541</v>
      </c>
      <c r="D729" t="s">
        <v>10</v>
      </c>
      <c r="E729" t="s">
        <v>484</v>
      </c>
      <c r="F729" t="s">
        <v>158</v>
      </c>
      <c r="G729" t="s">
        <v>346</v>
      </c>
      <c r="I729" s="37">
        <v>746.99</v>
      </c>
      <c r="J729" s="37">
        <v>30</v>
      </c>
      <c r="L729" s="37">
        <v>776.99</v>
      </c>
      <c r="N729" s="37">
        <v>400</v>
      </c>
    </row>
    <row r="730" spans="1:14" x14ac:dyDescent="0.25">
      <c r="A730" s="1">
        <v>46056</v>
      </c>
      <c r="B730">
        <v>1</v>
      </c>
      <c r="C730" t="s">
        <v>541</v>
      </c>
      <c r="D730" t="s">
        <v>10</v>
      </c>
      <c r="E730" t="s">
        <v>485</v>
      </c>
      <c r="F730" t="s">
        <v>37</v>
      </c>
      <c r="G730" t="s">
        <v>346</v>
      </c>
      <c r="I730" s="37">
        <v>746.99</v>
      </c>
      <c r="L730" s="37">
        <v>746.99</v>
      </c>
      <c r="N730" s="37">
        <v>746.99</v>
      </c>
    </row>
    <row r="731" spans="1:14" x14ac:dyDescent="0.25">
      <c r="A731" s="1">
        <v>46056</v>
      </c>
      <c r="B731">
        <v>1</v>
      </c>
      <c r="C731" t="s">
        <v>541</v>
      </c>
      <c r="D731" t="s">
        <v>10</v>
      </c>
      <c r="E731" t="s">
        <v>486</v>
      </c>
      <c r="F731" t="s">
        <v>52</v>
      </c>
      <c r="G731" t="s">
        <v>346</v>
      </c>
      <c r="I731" s="37">
        <v>1251.99</v>
      </c>
      <c r="J731" s="37">
        <v>98.01</v>
      </c>
      <c r="L731" s="37">
        <v>1350</v>
      </c>
      <c r="N731" s="37">
        <v>1350</v>
      </c>
    </row>
    <row r="732" spans="1:14" x14ac:dyDescent="0.25">
      <c r="A732" s="1">
        <v>46056</v>
      </c>
      <c r="B732">
        <v>1</v>
      </c>
      <c r="C732" t="s">
        <v>541</v>
      </c>
      <c r="D732" t="s">
        <v>10</v>
      </c>
      <c r="E732" t="s">
        <v>487</v>
      </c>
      <c r="F732" t="s">
        <v>52</v>
      </c>
      <c r="G732" t="s">
        <v>359</v>
      </c>
      <c r="I732" s="37">
        <v>1251.99</v>
      </c>
      <c r="J732" s="37">
        <v>28.01</v>
      </c>
      <c r="L732" s="37">
        <v>1280</v>
      </c>
      <c r="N732" s="37">
        <v>1280</v>
      </c>
    </row>
    <row r="733" spans="1:14" x14ac:dyDescent="0.25">
      <c r="A733" s="1">
        <v>46056</v>
      </c>
      <c r="B733">
        <v>1</v>
      </c>
      <c r="C733" t="s">
        <v>541</v>
      </c>
      <c r="D733" t="s">
        <v>10</v>
      </c>
      <c r="E733" t="s">
        <v>488</v>
      </c>
      <c r="F733" t="s">
        <v>407</v>
      </c>
      <c r="G733" t="s">
        <v>346</v>
      </c>
      <c r="I733" s="37">
        <v>801.99</v>
      </c>
      <c r="K733" s="37">
        <v>1.99</v>
      </c>
      <c r="L733" s="37">
        <v>800</v>
      </c>
      <c r="N733" s="37">
        <v>800</v>
      </c>
    </row>
    <row r="734" spans="1:14" x14ac:dyDescent="0.25">
      <c r="A734" s="1">
        <v>46056</v>
      </c>
      <c r="B734">
        <v>1</v>
      </c>
      <c r="C734" t="s">
        <v>541</v>
      </c>
      <c r="D734" t="s">
        <v>10</v>
      </c>
      <c r="E734" t="s">
        <v>489</v>
      </c>
      <c r="F734" t="s">
        <v>52</v>
      </c>
      <c r="G734" t="s">
        <v>346</v>
      </c>
      <c r="I734" s="37">
        <v>1251.99</v>
      </c>
      <c r="K734" s="37">
        <v>1.99</v>
      </c>
      <c r="L734" s="37">
        <v>1250</v>
      </c>
      <c r="N734" s="37">
        <v>1250</v>
      </c>
    </row>
    <row r="735" spans="1:14" x14ac:dyDescent="0.25">
      <c r="A735" s="1">
        <v>46056</v>
      </c>
      <c r="B735">
        <v>1</v>
      </c>
      <c r="C735" t="s">
        <v>541</v>
      </c>
      <c r="D735" t="s">
        <v>10</v>
      </c>
      <c r="E735" t="s">
        <v>490</v>
      </c>
      <c r="F735" t="s">
        <v>403</v>
      </c>
      <c r="G735" t="s">
        <v>346</v>
      </c>
      <c r="I735" s="37">
        <v>931.99</v>
      </c>
      <c r="K735" s="37">
        <v>133.13999999999999</v>
      </c>
      <c r="L735" s="37">
        <v>798.85</v>
      </c>
      <c r="N735" s="37">
        <v>798.85</v>
      </c>
    </row>
    <row r="736" spans="1:14" x14ac:dyDescent="0.25">
      <c r="A736" s="1">
        <v>46056</v>
      </c>
      <c r="B736">
        <v>1</v>
      </c>
      <c r="C736" t="s">
        <v>541</v>
      </c>
      <c r="D736" t="s">
        <v>10</v>
      </c>
      <c r="E736" t="s">
        <v>496</v>
      </c>
      <c r="F736" t="s">
        <v>403</v>
      </c>
      <c r="G736" t="s">
        <v>346</v>
      </c>
      <c r="I736" s="37">
        <v>1000</v>
      </c>
      <c r="L736" s="37">
        <v>1000</v>
      </c>
      <c r="N736" s="37">
        <v>1000</v>
      </c>
    </row>
    <row r="737" spans="1:14" x14ac:dyDescent="0.25">
      <c r="A737" s="1">
        <v>46056</v>
      </c>
      <c r="B737">
        <v>1</v>
      </c>
      <c r="C737" t="s">
        <v>541</v>
      </c>
      <c r="D737" t="s">
        <v>10</v>
      </c>
      <c r="E737" t="s">
        <v>491</v>
      </c>
      <c r="F737" t="s">
        <v>403</v>
      </c>
      <c r="G737" t="s">
        <v>346</v>
      </c>
      <c r="I737" s="37">
        <v>1001.99</v>
      </c>
      <c r="K737" s="37">
        <v>0.99</v>
      </c>
      <c r="L737" s="37">
        <v>1001</v>
      </c>
      <c r="N737" s="37">
        <v>1001</v>
      </c>
    </row>
    <row r="738" spans="1:14" x14ac:dyDescent="0.25">
      <c r="A738" s="1">
        <v>46056</v>
      </c>
      <c r="B738">
        <v>1</v>
      </c>
      <c r="C738" t="s">
        <v>541</v>
      </c>
      <c r="D738" t="s">
        <v>10</v>
      </c>
      <c r="E738" t="s">
        <v>494</v>
      </c>
      <c r="F738" t="s">
        <v>69</v>
      </c>
      <c r="G738" t="s">
        <v>349</v>
      </c>
      <c r="I738" s="37">
        <v>801.99</v>
      </c>
      <c r="K738" s="37">
        <v>114.57</v>
      </c>
      <c r="L738" s="37">
        <v>687.42</v>
      </c>
      <c r="N738" s="37">
        <v>687.42</v>
      </c>
    </row>
    <row r="739" spans="1:14" x14ac:dyDescent="0.25">
      <c r="A739" s="1">
        <v>46056</v>
      </c>
      <c r="B739">
        <v>1</v>
      </c>
      <c r="C739" t="s">
        <v>541</v>
      </c>
      <c r="D739" t="s">
        <v>10</v>
      </c>
      <c r="E739" t="s">
        <v>492</v>
      </c>
      <c r="F739" t="s">
        <v>28</v>
      </c>
      <c r="G739" t="s">
        <v>493</v>
      </c>
      <c r="I739" s="37">
        <v>931.99</v>
      </c>
      <c r="L739" s="37">
        <v>931.99</v>
      </c>
      <c r="N739" s="37">
        <v>931.99</v>
      </c>
    </row>
    <row r="740" spans="1:14" x14ac:dyDescent="0.25">
      <c r="A740" s="1">
        <v>46056</v>
      </c>
      <c r="B740">
        <v>1</v>
      </c>
      <c r="C740" t="s">
        <v>541</v>
      </c>
      <c r="D740" t="s">
        <v>10</v>
      </c>
      <c r="E740" t="s">
        <v>702</v>
      </c>
      <c r="F740" t="s">
        <v>55</v>
      </c>
      <c r="G740" t="s">
        <v>703</v>
      </c>
      <c r="I740" s="37">
        <v>746.99</v>
      </c>
      <c r="L740" s="37">
        <v>791.99</v>
      </c>
      <c r="N740" s="37">
        <v>746.99</v>
      </c>
    </row>
    <row r="741" spans="1:14" x14ac:dyDescent="0.25">
      <c r="A741" s="1">
        <v>46056</v>
      </c>
      <c r="B741">
        <v>1</v>
      </c>
      <c r="C741" t="s">
        <v>541</v>
      </c>
      <c r="D741" t="s">
        <v>10</v>
      </c>
      <c r="E741" t="s">
        <v>502</v>
      </c>
      <c r="F741" t="s">
        <v>55</v>
      </c>
      <c r="G741" t="s">
        <v>346</v>
      </c>
      <c r="I741" s="37">
        <v>746.99</v>
      </c>
      <c r="L741" s="37">
        <v>791.99</v>
      </c>
      <c r="N741" s="37">
        <v>746.99</v>
      </c>
    </row>
    <row r="742" spans="1:14" x14ac:dyDescent="0.25">
      <c r="A742" s="1">
        <v>46056</v>
      </c>
      <c r="B742">
        <v>1</v>
      </c>
      <c r="C742" t="s">
        <v>541</v>
      </c>
      <c r="D742" t="s">
        <v>10</v>
      </c>
      <c r="E742" t="s">
        <v>417</v>
      </c>
      <c r="F742" t="s">
        <v>52</v>
      </c>
      <c r="G742" t="s">
        <v>359</v>
      </c>
      <c r="I742" s="37">
        <v>1251.99</v>
      </c>
      <c r="L742" s="37">
        <v>1746.99</v>
      </c>
      <c r="M742" s="37">
        <v>219.5</v>
      </c>
      <c r="N742" s="37">
        <v>1251.99</v>
      </c>
    </row>
    <row r="743" spans="1:14" x14ac:dyDescent="0.25">
      <c r="A743" s="1">
        <v>46056</v>
      </c>
      <c r="B743">
        <v>1</v>
      </c>
      <c r="C743" t="s">
        <v>541</v>
      </c>
      <c r="D743" t="s">
        <v>10</v>
      </c>
      <c r="E743" t="s">
        <v>318</v>
      </c>
      <c r="F743" t="s">
        <v>12</v>
      </c>
      <c r="G743" t="s">
        <v>346</v>
      </c>
      <c r="I743" s="37">
        <v>746.99</v>
      </c>
      <c r="L743" s="37">
        <v>791.99</v>
      </c>
      <c r="N743" s="37">
        <v>746.99</v>
      </c>
    </row>
    <row r="744" spans="1:14" x14ac:dyDescent="0.25">
      <c r="A744" s="1">
        <v>46056</v>
      </c>
      <c r="B744">
        <v>1</v>
      </c>
      <c r="C744" t="s">
        <v>542</v>
      </c>
      <c r="D744" t="s">
        <v>336</v>
      </c>
      <c r="E744" t="s">
        <v>367</v>
      </c>
      <c r="F744" t="s">
        <v>52</v>
      </c>
      <c r="G744" t="s">
        <v>346</v>
      </c>
      <c r="I744" s="37">
        <v>1251.99</v>
      </c>
      <c r="L744" s="37">
        <v>1251.99</v>
      </c>
    </row>
    <row r="745" spans="1:14" x14ac:dyDescent="0.25">
      <c r="A745" s="1">
        <v>46056</v>
      </c>
      <c r="B745">
        <v>1</v>
      </c>
      <c r="C745" t="s">
        <v>541</v>
      </c>
      <c r="D745" t="s">
        <v>10</v>
      </c>
      <c r="E745" t="s">
        <v>436</v>
      </c>
      <c r="F745" t="s">
        <v>116</v>
      </c>
      <c r="G745" t="s">
        <v>346</v>
      </c>
      <c r="I745" s="37">
        <v>746.99</v>
      </c>
      <c r="L745" s="37">
        <v>791.99</v>
      </c>
      <c r="N745" s="37">
        <v>746.99</v>
      </c>
    </row>
    <row r="746" spans="1:14" x14ac:dyDescent="0.25">
      <c r="A746" s="1">
        <v>46056</v>
      </c>
      <c r="B746">
        <v>1</v>
      </c>
      <c r="C746" t="s">
        <v>541</v>
      </c>
      <c r="D746" t="s">
        <v>10</v>
      </c>
      <c r="E746" t="s">
        <v>497</v>
      </c>
      <c r="F746" t="s">
        <v>498</v>
      </c>
      <c r="G746" t="s">
        <v>349</v>
      </c>
      <c r="I746" s="37">
        <v>901.99</v>
      </c>
      <c r="L746" s="37">
        <v>1096.99</v>
      </c>
      <c r="N746" s="37">
        <v>746.99</v>
      </c>
    </row>
    <row r="747" spans="1:14" x14ac:dyDescent="0.25">
      <c r="A747" s="1">
        <v>46056</v>
      </c>
      <c r="B747">
        <v>1</v>
      </c>
      <c r="C747" t="s">
        <v>542</v>
      </c>
      <c r="D747" t="s">
        <v>99</v>
      </c>
      <c r="E747" t="s">
        <v>475</v>
      </c>
      <c r="F747" t="s">
        <v>37</v>
      </c>
      <c r="G747" t="s">
        <v>467</v>
      </c>
      <c r="I747" s="37">
        <v>746.99</v>
      </c>
      <c r="L747" s="37">
        <v>746.99</v>
      </c>
    </row>
    <row r="748" spans="1:14" x14ac:dyDescent="0.25">
      <c r="A748" s="1">
        <v>46056</v>
      </c>
      <c r="B748">
        <v>1</v>
      </c>
      <c r="C748" t="s">
        <v>542</v>
      </c>
      <c r="D748" t="s">
        <v>99</v>
      </c>
      <c r="E748" t="s">
        <v>476</v>
      </c>
      <c r="F748" t="s">
        <v>158</v>
      </c>
      <c r="G748" t="s">
        <v>346</v>
      </c>
      <c r="I748" s="37">
        <v>746.99</v>
      </c>
      <c r="L748" s="37">
        <v>746.99</v>
      </c>
    </row>
    <row r="749" spans="1:14" x14ac:dyDescent="0.25">
      <c r="A749" s="1">
        <v>46056</v>
      </c>
      <c r="B749">
        <v>1</v>
      </c>
      <c r="C749" t="s">
        <v>541</v>
      </c>
      <c r="D749" t="s">
        <v>10</v>
      </c>
      <c r="E749" t="s">
        <v>504</v>
      </c>
      <c r="F749" t="s">
        <v>37</v>
      </c>
      <c r="G749" t="s">
        <v>420</v>
      </c>
      <c r="I749" s="37">
        <v>746.99</v>
      </c>
      <c r="L749" s="37">
        <v>941.99</v>
      </c>
      <c r="N749" s="37">
        <v>746.99</v>
      </c>
    </row>
    <row r="750" spans="1:14" x14ac:dyDescent="0.25">
      <c r="A750" s="1">
        <v>46056</v>
      </c>
      <c r="B750">
        <v>1</v>
      </c>
      <c r="C750" t="s">
        <v>541</v>
      </c>
      <c r="D750" t="s">
        <v>10</v>
      </c>
      <c r="E750" t="s">
        <v>505</v>
      </c>
      <c r="F750" t="s">
        <v>158</v>
      </c>
      <c r="G750" t="s">
        <v>346</v>
      </c>
      <c r="I750" s="37">
        <v>746.99</v>
      </c>
      <c r="L750" s="37">
        <v>791.99</v>
      </c>
      <c r="N750" s="37">
        <v>746.91</v>
      </c>
    </row>
    <row r="751" spans="1:14" x14ac:dyDescent="0.25">
      <c r="A751" s="1">
        <v>46056</v>
      </c>
      <c r="B751">
        <v>1</v>
      </c>
      <c r="C751" t="s">
        <v>542</v>
      </c>
      <c r="D751" t="s">
        <v>136</v>
      </c>
      <c r="E751" t="s">
        <v>506</v>
      </c>
      <c r="F751" t="s">
        <v>158</v>
      </c>
      <c r="G751" t="s">
        <v>346</v>
      </c>
      <c r="I751" s="37">
        <v>746.99</v>
      </c>
      <c r="L751" s="37">
        <v>746.99</v>
      </c>
    </row>
    <row r="752" spans="1:14" x14ac:dyDescent="0.25">
      <c r="A752" s="1">
        <v>46056</v>
      </c>
      <c r="B752">
        <v>1</v>
      </c>
      <c r="C752" t="s">
        <v>541</v>
      </c>
      <c r="D752" t="s">
        <v>10</v>
      </c>
      <c r="E752" t="s">
        <v>508</v>
      </c>
      <c r="F752" t="s">
        <v>158</v>
      </c>
      <c r="G752" t="s">
        <v>346</v>
      </c>
      <c r="I752" s="37">
        <v>746.99</v>
      </c>
      <c r="L752" s="37">
        <v>791.99</v>
      </c>
      <c r="N752" s="37">
        <v>746.99</v>
      </c>
    </row>
    <row r="753" spans="1:14" x14ac:dyDescent="0.25">
      <c r="A753" s="1">
        <v>46056</v>
      </c>
      <c r="B753">
        <v>1</v>
      </c>
      <c r="C753" t="s">
        <v>542</v>
      </c>
      <c r="D753" t="s">
        <v>99</v>
      </c>
      <c r="E753" t="s">
        <v>509</v>
      </c>
      <c r="F753" t="s">
        <v>12</v>
      </c>
      <c r="G753" t="s">
        <v>346</v>
      </c>
      <c r="I753" s="37">
        <v>746.99</v>
      </c>
      <c r="L753" s="37">
        <v>746.99</v>
      </c>
    </row>
    <row r="754" spans="1:14" x14ac:dyDescent="0.25">
      <c r="A754" s="1">
        <v>46056</v>
      </c>
      <c r="B754">
        <v>1</v>
      </c>
      <c r="C754" t="s">
        <v>542</v>
      </c>
      <c r="D754" t="s">
        <v>99</v>
      </c>
      <c r="E754" t="s">
        <v>511</v>
      </c>
      <c r="F754" t="s">
        <v>512</v>
      </c>
      <c r="G754" t="s">
        <v>346</v>
      </c>
      <c r="I754" s="37">
        <v>746.99</v>
      </c>
      <c r="L754" s="37">
        <v>746.99</v>
      </c>
    </row>
    <row r="755" spans="1:14" x14ac:dyDescent="0.25">
      <c r="A755" s="1">
        <v>46056</v>
      </c>
      <c r="B755">
        <v>1</v>
      </c>
      <c r="C755" t="s">
        <v>542</v>
      </c>
      <c r="D755" t="s">
        <v>99</v>
      </c>
      <c r="E755" t="s">
        <v>513</v>
      </c>
      <c r="F755" t="s">
        <v>514</v>
      </c>
      <c r="G755" t="s">
        <v>515</v>
      </c>
      <c r="I755" s="37">
        <v>746.99</v>
      </c>
      <c r="L755" s="37">
        <v>746.99</v>
      </c>
    </row>
    <row r="756" spans="1:14" x14ac:dyDescent="0.25">
      <c r="A756" s="1">
        <v>46056</v>
      </c>
      <c r="B756">
        <v>1</v>
      </c>
      <c r="C756" t="s">
        <v>542</v>
      </c>
      <c r="D756" t="s">
        <v>234</v>
      </c>
      <c r="E756" t="s">
        <v>516</v>
      </c>
      <c r="F756" t="s">
        <v>517</v>
      </c>
      <c r="G756" t="s">
        <v>349</v>
      </c>
      <c r="I756" s="37">
        <v>801.99</v>
      </c>
      <c r="L756" s="37">
        <v>801.99</v>
      </c>
    </row>
    <row r="757" spans="1:14" x14ac:dyDescent="0.25">
      <c r="A757" s="1">
        <v>46056</v>
      </c>
      <c r="B757">
        <v>1</v>
      </c>
      <c r="C757" t="s">
        <v>541</v>
      </c>
      <c r="D757" t="s">
        <v>10</v>
      </c>
      <c r="E757" t="s">
        <v>518</v>
      </c>
      <c r="F757" t="s">
        <v>385</v>
      </c>
      <c r="G757" t="s">
        <v>349</v>
      </c>
      <c r="I757" s="37">
        <v>801.99</v>
      </c>
      <c r="K757" s="37">
        <v>343.73</v>
      </c>
      <c r="L757" s="37">
        <v>458.26</v>
      </c>
      <c r="N757" s="37">
        <v>458.26</v>
      </c>
    </row>
    <row r="758" spans="1:14" x14ac:dyDescent="0.25">
      <c r="A758" s="1">
        <v>46056</v>
      </c>
      <c r="B758">
        <v>1</v>
      </c>
      <c r="C758" t="s">
        <v>542</v>
      </c>
      <c r="D758" t="s">
        <v>99</v>
      </c>
      <c r="E758" t="s">
        <v>526</v>
      </c>
      <c r="F758" t="s">
        <v>158</v>
      </c>
      <c r="G758" t="s">
        <v>346</v>
      </c>
      <c r="I758" s="37">
        <v>746.99</v>
      </c>
      <c r="L758" s="37">
        <v>746.99</v>
      </c>
    </row>
    <row r="759" spans="1:14" x14ac:dyDescent="0.25">
      <c r="A759" s="1">
        <v>46056</v>
      </c>
      <c r="B759">
        <v>1</v>
      </c>
      <c r="C759" t="s">
        <v>542</v>
      </c>
      <c r="D759" t="s">
        <v>99</v>
      </c>
      <c r="E759" t="s">
        <v>319</v>
      </c>
      <c r="F759" t="s">
        <v>158</v>
      </c>
      <c r="G759" t="s">
        <v>346</v>
      </c>
      <c r="I759" s="37">
        <v>746.99</v>
      </c>
      <c r="L759" s="37">
        <v>746.99</v>
      </c>
    </row>
    <row r="760" spans="1:14" x14ac:dyDescent="0.25">
      <c r="A760" s="1">
        <v>46056</v>
      </c>
      <c r="B760">
        <v>1</v>
      </c>
      <c r="C760" t="s">
        <v>542</v>
      </c>
      <c r="D760" t="s">
        <v>99</v>
      </c>
      <c r="E760" t="s">
        <v>527</v>
      </c>
      <c r="F760" t="s">
        <v>158</v>
      </c>
      <c r="G760" t="s">
        <v>346</v>
      </c>
      <c r="I760" s="37">
        <v>746.99</v>
      </c>
      <c r="L760" s="37">
        <v>746.99</v>
      </c>
    </row>
    <row r="761" spans="1:14" x14ac:dyDescent="0.25">
      <c r="A761" s="1">
        <v>46056</v>
      </c>
      <c r="B761">
        <v>1</v>
      </c>
      <c r="C761" t="s">
        <v>542</v>
      </c>
      <c r="D761" t="s">
        <v>99</v>
      </c>
      <c r="E761" t="s">
        <v>320</v>
      </c>
      <c r="F761" t="s">
        <v>55</v>
      </c>
      <c r="G761" t="s">
        <v>346</v>
      </c>
      <c r="I761" s="37">
        <v>746.99</v>
      </c>
      <c r="L761" s="37">
        <v>746.99</v>
      </c>
    </row>
    <row r="762" spans="1:14" x14ac:dyDescent="0.25">
      <c r="A762" s="1">
        <v>46056</v>
      </c>
      <c r="B762">
        <v>1</v>
      </c>
      <c r="C762" t="s">
        <v>542</v>
      </c>
      <c r="D762" t="s">
        <v>336</v>
      </c>
      <c r="E762" t="s">
        <v>528</v>
      </c>
      <c r="F762" t="s">
        <v>158</v>
      </c>
      <c r="G762" t="s">
        <v>346</v>
      </c>
      <c r="I762" s="37">
        <v>746.99</v>
      </c>
      <c r="L762" s="37">
        <v>746.99</v>
      </c>
    </row>
    <row r="763" spans="1:14" x14ac:dyDescent="0.25">
      <c r="A763" s="1">
        <v>46056</v>
      </c>
      <c r="B763">
        <v>1</v>
      </c>
      <c r="C763" t="s">
        <v>542</v>
      </c>
      <c r="D763" t="s">
        <v>99</v>
      </c>
      <c r="E763" t="s">
        <v>321</v>
      </c>
      <c r="F763" t="s">
        <v>158</v>
      </c>
      <c r="G763" t="s">
        <v>346</v>
      </c>
      <c r="I763" s="37">
        <v>746.99</v>
      </c>
      <c r="L763" s="37">
        <v>746.99</v>
      </c>
    </row>
    <row r="764" spans="1:14" x14ac:dyDescent="0.25">
      <c r="A764" s="1">
        <v>46056</v>
      </c>
      <c r="B764">
        <v>1</v>
      </c>
      <c r="C764" t="s">
        <v>542</v>
      </c>
      <c r="D764" t="s">
        <v>99</v>
      </c>
      <c r="E764" t="s">
        <v>322</v>
      </c>
      <c r="F764" t="s">
        <v>158</v>
      </c>
      <c r="G764" t="s">
        <v>346</v>
      </c>
      <c r="I764" s="37">
        <v>746.99</v>
      </c>
      <c r="L764" s="37">
        <v>746.99</v>
      </c>
    </row>
    <row r="765" spans="1:14" x14ac:dyDescent="0.25">
      <c r="A765" s="1">
        <v>46056</v>
      </c>
      <c r="B765">
        <v>1</v>
      </c>
      <c r="C765" t="s">
        <v>542</v>
      </c>
      <c r="D765" t="s">
        <v>99</v>
      </c>
      <c r="E765" t="s">
        <v>323</v>
      </c>
      <c r="F765" t="s">
        <v>158</v>
      </c>
      <c r="G765" t="s">
        <v>346</v>
      </c>
      <c r="I765" s="37">
        <v>746.99</v>
      </c>
      <c r="L765" s="37">
        <v>746.99</v>
      </c>
    </row>
    <row r="766" spans="1:14" x14ac:dyDescent="0.25">
      <c r="A766" s="1">
        <v>46056</v>
      </c>
      <c r="B766">
        <v>1</v>
      </c>
      <c r="C766" t="s">
        <v>542</v>
      </c>
      <c r="D766" t="s">
        <v>99</v>
      </c>
      <c r="E766" t="s">
        <v>324</v>
      </c>
      <c r="F766" t="s">
        <v>158</v>
      </c>
      <c r="G766" t="s">
        <v>346</v>
      </c>
      <c r="I766" s="37">
        <v>746</v>
      </c>
      <c r="L766" s="37">
        <v>746</v>
      </c>
    </row>
    <row r="767" spans="1:14" x14ac:dyDescent="0.25">
      <c r="A767" s="1">
        <v>46056</v>
      </c>
      <c r="B767">
        <v>1</v>
      </c>
      <c r="C767" t="s">
        <v>542</v>
      </c>
      <c r="D767" t="s">
        <v>99</v>
      </c>
      <c r="E767" t="s">
        <v>529</v>
      </c>
      <c r="F767" t="s">
        <v>55</v>
      </c>
      <c r="G767" t="s">
        <v>346</v>
      </c>
      <c r="I767" s="37">
        <v>746.99</v>
      </c>
      <c r="L767" s="37">
        <v>746.99</v>
      </c>
    </row>
    <row r="768" spans="1:14" x14ac:dyDescent="0.25">
      <c r="A768" s="1">
        <v>46056</v>
      </c>
      <c r="B768">
        <v>1</v>
      </c>
      <c r="C768" t="s">
        <v>542</v>
      </c>
      <c r="D768" t="s">
        <v>336</v>
      </c>
      <c r="E768" t="s">
        <v>530</v>
      </c>
      <c r="F768" t="s">
        <v>52</v>
      </c>
      <c r="G768" t="s">
        <v>515</v>
      </c>
      <c r="I768" s="37">
        <v>1251.99</v>
      </c>
      <c r="L768" s="37">
        <v>1251.99</v>
      </c>
    </row>
    <row r="769" spans="1:14" x14ac:dyDescent="0.25">
      <c r="A769" s="1">
        <v>46056</v>
      </c>
      <c r="B769">
        <v>1</v>
      </c>
      <c r="C769" t="s">
        <v>542</v>
      </c>
      <c r="D769" t="s">
        <v>99</v>
      </c>
      <c r="E769" t="s">
        <v>531</v>
      </c>
      <c r="F769" t="s">
        <v>158</v>
      </c>
      <c r="G769" t="s">
        <v>346</v>
      </c>
      <c r="I769" s="37">
        <v>746.99</v>
      </c>
      <c r="L769" s="37">
        <v>746.99</v>
      </c>
    </row>
    <row r="770" spans="1:14" x14ac:dyDescent="0.25">
      <c r="A770" s="1">
        <v>46056</v>
      </c>
      <c r="B770">
        <v>1</v>
      </c>
      <c r="C770" t="s">
        <v>541</v>
      </c>
      <c r="D770" t="s">
        <v>10</v>
      </c>
      <c r="E770" t="s">
        <v>325</v>
      </c>
      <c r="F770" t="s">
        <v>158</v>
      </c>
      <c r="G770" t="s">
        <v>346</v>
      </c>
      <c r="I770" s="37">
        <v>746.99</v>
      </c>
      <c r="L770" s="37">
        <v>791.99</v>
      </c>
      <c r="N770" s="37">
        <v>746.99</v>
      </c>
    </row>
    <row r="771" spans="1:14" x14ac:dyDescent="0.25">
      <c r="A771" s="1">
        <v>46056</v>
      </c>
      <c r="B771">
        <v>1</v>
      </c>
      <c r="C771" t="s">
        <v>542</v>
      </c>
      <c r="D771" t="s">
        <v>99</v>
      </c>
      <c r="E771" t="s">
        <v>532</v>
      </c>
      <c r="F771" t="s">
        <v>55</v>
      </c>
      <c r="G771" t="s">
        <v>346</v>
      </c>
      <c r="I771" s="37">
        <v>745</v>
      </c>
      <c r="L771" s="37">
        <v>745</v>
      </c>
    </row>
    <row r="772" spans="1:14" x14ac:dyDescent="0.25">
      <c r="A772" s="1">
        <v>46056</v>
      </c>
      <c r="B772">
        <v>1</v>
      </c>
      <c r="C772" t="s">
        <v>542</v>
      </c>
      <c r="D772" t="s">
        <v>336</v>
      </c>
      <c r="E772" t="s">
        <v>533</v>
      </c>
      <c r="F772" t="s">
        <v>211</v>
      </c>
      <c r="G772" t="s">
        <v>346</v>
      </c>
      <c r="I772" s="37">
        <v>746.99</v>
      </c>
      <c r="L772" s="37">
        <v>746.99</v>
      </c>
    </row>
    <row r="773" spans="1:14" x14ac:dyDescent="0.25">
      <c r="A773" s="1">
        <v>46056</v>
      </c>
      <c r="B773">
        <v>1</v>
      </c>
      <c r="C773" t="s">
        <v>542</v>
      </c>
      <c r="D773" t="s">
        <v>99</v>
      </c>
      <c r="E773" t="s">
        <v>534</v>
      </c>
      <c r="F773" t="s">
        <v>535</v>
      </c>
      <c r="G773" t="s">
        <v>493</v>
      </c>
      <c r="I773" s="37"/>
      <c r="L773" s="37">
        <v>0</v>
      </c>
    </row>
    <row r="774" spans="1:14" x14ac:dyDescent="0.25">
      <c r="A774" s="1">
        <v>46056</v>
      </c>
      <c r="B774">
        <v>1</v>
      </c>
      <c r="C774" t="s">
        <v>541</v>
      </c>
      <c r="D774" t="s">
        <v>10</v>
      </c>
      <c r="E774" t="s">
        <v>536</v>
      </c>
      <c r="F774" t="s">
        <v>52</v>
      </c>
      <c r="G774" t="s">
        <v>359</v>
      </c>
      <c r="I774" s="37">
        <v>1251.99</v>
      </c>
      <c r="L774" s="37">
        <v>1746.99</v>
      </c>
      <c r="M774" s="37">
        <v>642.54999999999995</v>
      </c>
      <c r="N774" s="37">
        <v>1251.99</v>
      </c>
    </row>
    <row r="775" spans="1:14" x14ac:dyDescent="0.25">
      <c r="A775" s="1">
        <v>46056</v>
      </c>
      <c r="B775">
        <v>1</v>
      </c>
      <c r="C775" t="s">
        <v>542</v>
      </c>
      <c r="D775" t="s">
        <v>336</v>
      </c>
      <c r="E775" t="s">
        <v>537</v>
      </c>
      <c r="F775" t="s">
        <v>407</v>
      </c>
      <c r="G775" t="s">
        <v>346</v>
      </c>
      <c r="I775" s="37">
        <v>801.99</v>
      </c>
      <c r="L775" s="37">
        <v>801.99</v>
      </c>
    </row>
    <row r="776" spans="1:14" x14ac:dyDescent="0.25">
      <c r="A776" s="1">
        <v>46056</v>
      </c>
      <c r="B776">
        <v>1</v>
      </c>
      <c r="C776" t="s">
        <v>542</v>
      </c>
      <c r="D776" t="s">
        <v>99</v>
      </c>
      <c r="E776" t="s">
        <v>51</v>
      </c>
      <c r="F776" t="s">
        <v>52</v>
      </c>
      <c r="G776" t="s">
        <v>346</v>
      </c>
      <c r="I776" s="37">
        <v>1251.99</v>
      </c>
      <c r="L776" s="37">
        <v>1251.99</v>
      </c>
    </row>
    <row r="777" spans="1:14" x14ac:dyDescent="0.25">
      <c r="A777" s="1">
        <v>46056</v>
      </c>
      <c r="B777">
        <v>1</v>
      </c>
      <c r="C777" t="s">
        <v>542</v>
      </c>
      <c r="D777" t="s">
        <v>99</v>
      </c>
      <c r="E777" t="s">
        <v>538</v>
      </c>
      <c r="F777" t="s">
        <v>178</v>
      </c>
      <c r="G777" t="s">
        <v>409</v>
      </c>
      <c r="I777" s="37">
        <v>801.99</v>
      </c>
      <c r="L777" s="37">
        <v>801.99</v>
      </c>
    </row>
    <row r="778" spans="1:14" x14ac:dyDescent="0.25">
      <c r="A778" s="1">
        <v>46056</v>
      </c>
      <c r="B778">
        <v>1</v>
      </c>
      <c r="C778" t="s">
        <v>542</v>
      </c>
      <c r="D778" t="s">
        <v>99</v>
      </c>
      <c r="E778" t="s">
        <v>326</v>
      </c>
      <c r="F778" t="s">
        <v>52</v>
      </c>
      <c r="G778" t="s">
        <v>13</v>
      </c>
      <c r="I778" s="37">
        <v>1251.99</v>
      </c>
      <c r="L778" s="37">
        <v>1251.99</v>
      </c>
    </row>
    <row r="779" spans="1:14" x14ac:dyDescent="0.25">
      <c r="A779" s="1">
        <v>46056</v>
      </c>
      <c r="B779">
        <v>1</v>
      </c>
      <c r="C779" t="s">
        <v>541</v>
      </c>
      <c r="D779" t="s">
        <v>10</v>
      </c>
      <c r="E779" t="s">
        <v>704</v>
      </c>
      <c r="F779" t="s">
        <v>69</v>
      </c>
      <c r="G779" t="s">
        <v>705</v>
      </c>
      <c r="I779" s="37">
        <v>746.99</v>
      </c>
      <c r="L779" s="37">
        <v>791.99</v>
      </c>
      <c r="N779" s="37">
        <v>7746.99</v>
      </c>
    </row>
    <row r="780" spans="1:14" x14ac:dyDescent="0.25">
      <c r="A780" s="1">
        <v>46056</v>
      </c>
      <c r="B780">
        <v>1</v>
      </c>
      <c r="C780" t="s">
        <v>542</v>
      </c>
      <c r="D780" t="s">
        <v>336</v>
      </c>
      <c r="E780" t="s">
        <v>539</v>
      </c>
      <c r="F780" t="s">
        <v>55</v>
      </c>
      <c r="G780" t="s">
        <v>493</v>
      </c>
      <c r="I780" s="37">
        <v>746.99</v>
      </c>
      <c r="L780" s="37">
        <v>746.99</v>
      </c>
    </row>
    <row r="781" spans="1:14" x14ac:dyDescent="0.25">
      <c r="A781" s="1">
        <v>46056</v>
      </c>
      <c r="B781">
        <v>1</v>
      </c>
      <c r="C781" t="s">
        <v>541</v>
      </c>
      <c r="D781" t="s">
        <v>10</v>
      </c>
      <c r="E781" t="s">
        <v>11</v>
      </c>
      <c r="F781" t="s">
        <v>12</v>
      </c>
      <c r="G781" t="s">
        <v>13</v>
      </c>
      <c r="I781" s="37">
        <v>746.99</v>
      </c>
      <c r="K781" s="37">
        <v>1.99</v>
      </c>
      <c r="L781" s="37">
        <v>745</v>
      </c>
      <c r="N781" s="37">
        <v>745</v>
      </c>
    </row>
    <row r="782" spans="1:14" x14ac:dyDescent="0.25">
      <c r="A782" s="1">
        <v>46056</v>
      </c>
      <c r="B782">
        <v>1</v>
      </c>
      <c r="C782" t="s">
        <v>541</v>
      </c>
      <c r="D782" t="s">
        <v>10</v>
      </c>
      <c r="E782" t="s">
        <v>15</v>
      </c>
      <c r="F782" t="s">
        <v>16</v>
      </c>
      <c r="G782" t="s">
        <v>13</v>
      </c>
      <c r="I782" s="37">
        <v>1251.99</v>
      </c>
      <c r="J782" s="37">
        <v>0.01</v>
      </c>
      <c r="L782" s="37">
        <v>1252</v>
      </c>
      <c r="N782" s="37">
        <v>1252</v>
      </c>
    </row>
    <row r="783" spans="1:14" x14ac:dyDescent="0.25">
      <c r="A783" s="1">
        <v>46056</v>
      </c>
      <c r="B783">
        <v>1</v>
      </c>
      <c r="C783" t="s">
        <v>541</v>
      </c>
      <c r="D783" t="s">
        <v>10</v>
      </c>
      <c r="E783" t="s">
        <v>18</v>
      </c>
      <c r="F783" t="s">
        <v>12</v>
      </c>
      <c r="G783" t="s">
        <v>13</v>
      </c>
      <c r="I783" s="37">
        <v>746.99</v>
      </c>
      <c r="K783" s="37">
        <v>107.99</v>
      </c>
      <c r="L783" s="37">
        <v>639</v>
      </c>
      <c r="N783" s="37">
        <v>639</v>
      </c>
    </row>
    <row r="784" spans="1:14" x14ac:dyDescent="0.25">
      <c r="A784" s="1">
        <v>46056</v>
      </c>
      <c r="B784">
        <v>1</v>
      </c>
      <c r="C784" t="s">
        <v>541</v>
      </c>
      <c r="D784" t="s">
        <v>89</v>
      </c>
      <c r="E784" t="s">
        <v>20</v>
      </c>
      <c r="F784" t="s">
        <v>21</v>
      </c>
      <c r="G784" t="s">
        <v>22</v>
      </c>
      <c r="I784" s="37">
        <v>651.99</v>
      </c>
      <c r="L784" s="37">
        <v>651.99</v>
      </c>
    </row>
    <row r="785" spans="1:14" x14ac:dyDescent="0.25">
      <c r="A785" s="1">
        <v>46056</v>
      </c>
      <c r="B785">
        <v>1</v>
      </c>
      <c r="C785" t="s">
        <v>541</v>
      </c>
      <c r="D785" t="s">
        <v>10</v>
      </c>
      <c r="E785" t="s">
        <v>24</v>
      </c>
      <c r="F785" t="s">
        <v>25</v>
      </c>
      <c r="G785" t="s">
        <v>13</v>
      </c>
      <c r="I785" s="37">
        <v>1450</v>
      </c>
      <c r="L785" s="37">
        <v>1450</v>
      </c>
      <c r="N785" s="37">
        <v>1450</v>
      </c>
    </row>
    <row r="786" spans="1:14" x14ac:dyDescent="0.25">
      <c r="A786" s="1">
        <v>46056</v>
      </c>
      <c r="B786">
        <v>1</v>
      </c>
      <c r="C786" t="s">
        <v>541</v>
      </c>
      <c r="D786" t="s">
        <v>10</v>
      </c>
      <c r="E786" t="s">
        <v>27</v>
      </c>
      <c r="F786" t="s">
        <v>28</v>
      </c>
      <c r="G786" t="s">
        <v>13</v>
      </c>
      <c r="I786" s="37">
        <v>931.99</v>
      </c>
      <c r="K786" s="37">
        <v>131.99</v>
      </c>
      <c r="L786" s="37">
        <v>800</v>
      </c>
      <c r="N786" s="37">
        <v>800</v>
      </c>
    </row>
    <row r="787" spans="1:14" x14ac:dyDescent="0.25">
      <c r="A787" s="1">
        <v>46056</v>
      </c>
      <c r="B787">
        <v>1</v>
      </c>
      <c r="C787" t="s">
        <v>541</v>
      </c>
      <c r="D787" t="s">
        <v>10</v>
      </c>
      <c r="E787" t="s">
        <v>30</v>
      </c>
      <c r="F787" t="s">
        <v>28</v>
      </c>
      <c r="G787" t="s">
        <v>13</v>
      </c>
      <c r="I787" s="37">
        <v>931.99</v>
      </c>
      <c r="K787" s="37">
        <v>1.99</v>
      </c>
      <c r="L787" s="37">
        <v>930</v>
      </c>
      <c r="N787" s="37">
        <v>930</v>
      </c>
    </row>
    <row r="788" spans="1:14" x14ac:dyDescent="0.25">
      <c r="A788" s="1">
        <v>46056</v>
      </c>
      <c r="B788">
        <v>1</v>
      </c>
      <c r="C788" t="s">
        <v>541</v>
      </c>
      <c r="D788" t="s">
        <v>10</v>
      </c>
      <c r="E788" t="s">
        <v>32</v>
      </c>
      <c r="F788" t="s">
        <v>33</v>
      </c>
      <c r="G788" t="s">
        <v>13</v>
      </c>
      <c r="I788" s="37">
        <v>851.99</v>
      </c>
      <c r="L788" s="37">
        <v>851.99</v>
      </c>
      <c r="N788" s="37">
        <v>851.99</v>
      </c>
    </row>
    <row r="789" spans="1:14" x14ac:dyDescent="0.25">
      <c r="A789" s="1">
        <v>46056</v>
      </c>
      <c r="B789">
        <v>1</v>
      </c>
      <c r="C789" t="s">
        <v>541</v>
      </c>
      <c r="D789" t="s">
        <v>706</v>
      </c>
      <c r="E789" t="s">
        <v>34</v>
      </c>
      <c r="F789" t="s">
        <v>33</v>
      </c>
      <c r="G789" t="s">
        <v>13</v>
      </c>
      <c r="I789" s="37">
        <v>851.99</v>
      </c>
      <c r="L789" s="37">
        <v>851.99</v>
      </c>
    </row>
    <row r="790" spans="1:14" x14ac:dyDescent="0.25">
      <c r="A790" s="1">
        <v>46056</v>
      </c>
      <c r="B790">
        <v>1</v>
      </c>
      <c r="C790" t="s">
        <v>541</v>
      </c>
      <c r="D790" t="s">
        <v>10</v>
      </c>
      <c r="E790" t="s">
        <v>36</v>
      </c>
      <c r="F790" t="s">
        <v>37</v>
      </c>
      <c r="G790" t="s">
        <v>38</v>
      </c>
      <c r="I790" s="37">
        <v>746.99</v>
      </c>
      <c r="K790" s="37">
        <v>1.99</v>
      </c>
      <c r="L790" s="37">
        <v>745</v>
      </c>
      <c r="N790" s="37">
        <v>745</v>
      </c>
    </row>
    <row r="791" spans="1:14" x14ac:dyDescent="0.25">
      <c r="A791" s="1">
        <v>46056</v>
      </c>
      <c r="B791">
        <v>1</v>
      </c>
      <c r="C791" t="s">
        <v>541</v>
      </c>
      <c r="D791" t="s">
        <v>10</v>
      </c>
      <c r="E791" t="s">
        <v>40</v>
      </c>
      <c r="F791" t="s">
        <v>41</v>
      </c>
      <c r="G791" t="s">
        <v>42</v>
      </c>
      <c r="I791" s="37">
        <v>746.99</v>
      </c>
      <c r="K791" s="37">
        <v>1.99</v>
      </c>
      <c r="L791" s="37">
        <v>745</v>
      </c>
      <c r="N791" s="37">
        <v>745</v>
      </c>
    </row>
    <row r="792" spans="1:14" x14ac:dyDescent="0.25">
      <c r="A792" s="1">
        <v>46056</v>
      </c>
      <c r="B792">
        <v>1</v>
      </c>
      <c r="C792" t="s">
        <v>541</v>
      </c>
      <c r="D792" t="s">
        <v>10</v>
      </c>
      <c r="E792" t="s">
        <v>44</v>
      </c>
      <c r="F792" t="s">
        <v>12</v>
      </c>
      <c r="G792" t="s">
        <v>13</v>
      </c>
      <c r="I792" s="37">
        <v>746.99</v>
      </c>
      <c r="L792" s="37">
        <v>746.99</v>
      </c>
      <c r="N792" s="37">
        <v>746.99</v>
      </c>
    </row>
    <row r="793" spans="1:14" x14ac:dyDescent="0.25">
      <c r="A793" s="1">
        <v>46056</v>
      </c>
      <c r="B793">
        <v>1</v>
      </c>
      <c r="C793" t="s">
        <v>542</v>
      </c>
      <c r="D793" t="s">
        <v>48</v>
      </c>
      <c r="E793" t="s">
        <v>49</v>
      </c>
      <c r="F793" t="s">
        <v>12</v>
      </c>
      <c r="G793" t="s">
        <v>13</v>
      </c>
      <c r="I793" s="37">
        <v>746.99</v>
      </c>
      <c r="L793" s="37">
        <v>746.99</v>
      </c>
    </row>
    <row r="794" spans="1:14" x14ac:dyDescent="0.25">
      <c r="A794" s="1">
        <v>46056</v>
      </c>
      <c r="B794">
        <v>1</v>
      </c>
      <c r="C794" t="s">
        <v>541</v>
      </c>
      <c r="D794" t="s">
        <v>10</v>
      </c>
      <c r="E794" t="s">
        <v>51</v>
      </c>
      <c r="F794" t="s">
        <v>52</v>
      </c>
      <c r="G794" t="s">
        <v>13</v>
      </c>
      <c r="I794" s="37">
        <v>1251.99</v>
      </c>
      <c r="J794" s="37">
        <v>0.01</v>
      </c>
      <c r="L794" s="37">
        <v>1252</v>
      </c>
      <c r="N794" s="37">
        <v>1252</v>
      </c>
    </row>
    <row r="795" spans="1:14" x14ac:dyDescent="0.25">
      <c r="A795" s="1">
        <v>46056</v>
      </c>
      <c r="B795">
        <v>1</v>
      </c>
      <c r="C795" t="s">
        <v>541</v>
      </c>
      <c r="D795" t="s">
        <v>10</v>
      </c>
      <c r="E795" t="s">
        <v>54</v>
      </c>
      <c r="F795" t="s">
        <v>55</v>
      </c>
      <c r="G795" t="s">
        <v>56</v>
      </c>
      <c r="I795" s="37">
        <v>746.99</v>
      </c>
      <c r="J795" s="37">
        <v>3.01</v>
      </c>
      <c r="L795" s="37">
        <v>750</v>
      </c>
      <c r="N795" s="37">
        <v>750</v>
      </c>
    </row>
    <row r="796" spans="1:14" x14ac:dyDescent="0.25">
      <c r="A796" s="1">
        <v>46056</v>
      </c>
      <c r="B796">
        <v>1</v>
      </c>
      <c r="C796" t="s">
        <v>541</v>
      </c>
      <c r="D796" t="s">
        <v>10</v>
      </c>
      <c r="E796" t="s">
        <v>58</v>
      </c>
      <c r="F796" t="s">
        <v>37</v>
      </c>
      <c r="G796" t="s">
        <v>38</v>
      </c>
      <c r="I796" s="37">
        <v>746.99</v>
      </c>
      <c r="L796" s="37">
        <v>746.99</v>
      </c>
      <c r="N796" s="37">
        <v>746.99</v>
      </c>
    </row>
    <row r="797" spans="1:14" x14ac:dyDescent="0.25">
      <c r="A797" s="1">
        <v>46056</v>
      </c>
      <c r="B797">
        <v>1</v>
      </c>
      <c r="C797" t="s">
        <v>541</v>
      </c>
      <c r="D797" t="s">
        <v>10</v>
      </c>
      <c r="E797" t="s">
        <v>60</v>
      </c>
      <c r="F797" t="s">
        <v>52</v>
      </c>
      <c r="G797" t="s">
        <v>38</v>
      </c>
      <c r="I797" s="37">
        <v>1251.99</v>
      </c>
      <c r="J797" s="37">
        <v>60</v>
      </c>
      <c r="L797" s="37">
        <v>1311.99</v>
      </c>
      <c r="N797" s="37">
        <v>1311.99</v>
      </c>
    </row>
    <row r="798" spans="1:14" x14ac:dyDescent="0.25">
      <c r="A798" s="1">
        <v>46056</v>
      </c>
      <c r="B798">
        <v>1</v>
      </c>
      <c r="C798" t="s">
        <v>541</v>
      </c>
      <c r="D798" t="s">
        <v>10</v>
      </c>
      <c r="E798" t="s">
        <v>62</v>
      </c>
      <c r="F798" t="s">
        <v>12</v>
      </c>
      <c r="G798" t="s">
        <v>13</v>
      </c>
      <c r="I798" s="37">
        <v>746.99</v>
      </c>
      <c r="L798" s="37">
        <v>746.99</v>
      </c>
      <c r="N798" s="37">
        <v>746.99</v>
      </c>
    </row>
    <row r="799" spans="1:14" x14ac:dyDescent="0.25">
      <c r="A799" s="1">
        <v>46056</v>
      </c>
      <c r="B799">
        <v>1</v>
      </c>
      <c r="C799" t="s">
        <v>541</v>
      </c>
      <c r="D799" t="s">
        <v>10</v>
      </c>
      <c r="E799" t="s">
        <v>64</v>
      </c>
      <c r="F799" t="s">
        <v>65</v>
      </c>
      <c r="G799" t="s">
        <v>66</v>
      </c>
      <c r="I799" s="37">
        <v>1381.99</v>
      </c>
      <c r="K799" s="37">
        <v>1.99</v>
      </c>
      <c r="L799" s="37">
        <v>1380</v>
      </c>
      <c r="N799" s="37">
        <v>1380</v>
      </c>
    </row>
    <row r="800" spans="1:14" x14ac:dyDescent="0.25">
      <c r="A800" s="1">
        <v>46056</v>
      </c>
      <c r="B800">
        <v>1</v>
      </c>
      <c r="C800" t="s">
        <v>541</v>
      </c>
      <c r="D800" t="s">
        <v>10</v>
      </c>
      <c r="E800" t="s">
        <v>68</v>
      </c>
      <c r="F800" t="s">
        <v>69</v>
      </c>
      <c r="G800" t="s">
        <v>70</v>
      </c>
      <c r="I800" s="37">
        <v>801.99</v>
      </c>
      <c r="J800" s="37">
        <v>0.01</v>
      </c>
      <c r="L800" s="37">
        <v>802</v>
      </c>
      <c r="N800" s="37">
        <v>802</v>
      </c>
    </row>
    <row r="801" spans="1:14" x14ac:dyDescent="0.25">
      <c r="A801" s="1">
        <v>46056</v>
      </c>
      <c r="B801">
        <v>1</v>
      </c>
      <c r="C801" t="s">
        <v>541</v>
      </c>
      <c r="D801" t="s">
        <v>10</v>
      </c>
      <c r="E801" t="s">
        <v>72</v>
      </c>
      <c r="F801" t="s">
        <v>73</v>
      </c>
      <c r="G801" t="s">
        <v>13</v>
      </c>
      <c r="I801" s="37">
        <v>1850</v>
      </c>
      <c r="L801" s="37">
        <v>1850</v>
      </c>
      <c r="N801" s="37">
        <v>1850</v>
      </c>
    </row>
    <row r="802" spans="1:14" x14ac:dyDescent="0.25">
      <c r="A802" s="1">
        <v>46056</v>
      </c>
      <c r="B802">
        <v>1</v>
      </c>
      <c r="C802" t="s">
        <v>541</v>
      </c>
      <c r="D802" t="s">
        <v>10</v>
      </c>
      <c r="E802" t="s">
        <v>75</v>
      </c>
      <c r="F802" t="s">
        <v>76</v>
      </c>
      <c r="G802" t="s">
        <v>77</v>
      </c>
      <c r="I802" s="37">
        <v>1451.99</v>
      </c>
      <c r="L802" s="37">
        <v>1451.99</v>
      </c>
      <c r="N802" s="37">
        <v>1451.99</v>
      </c>
    </row>
    <row r="803" spans="1:14" x14ac:dyDescent="0.25">
      <c r="A803" s="1">
        <v>46056</v>
      </c>
      <c r="B803">
        <v>1</v>
      </c>
      <c r="C803" t="s">
        <v>541</v>
      </c>
      <c r="D803" t="s">
        <v>10</v>
      </c>
      <c r="E803" t="s">
        <v>79</v>
      </c>
      <c r="F803" t="s">
        <v>76</v>
      </c>
      <c r="G803" t="s">
        <v>77</v>
      </c>
      <c r="I803" s="37">
        <v>1451.99</v>
      </c>
      <c r="L803" s="37">
        <v>1451.99</v>
      </c>
      <c r="N803" s="37">
        <v>1451.99</v>
      </c>
    </row>
    <row r="804" spans="1:14" x14ac:dyDescent="0.25">
      <c r="A804" s="1">
        <v>46056</v>
      </c>
      <c r="B804">
        <v>1</v>
      </c>
      <c r="C804" t="s">
        <v>541</v>
      </c>
      <c r="D804" t="s">
        <v>10</v>
      </c>
      <c r="E804" t="s">
        <v>81</v>
      </c>
      <c r="F804" t="s">
        <v>12</v>
      </c>
      <c r="G804" t="s">
        <v>13</v>
      </c>
      <c r="I804" s="37">
        <v>746.99</v>
      </c>
      <c r="J804" s="37">
        <v>60</v>
      </c>
      <c r="L804" s="37">
        <v>806.99</v>
      </c>
      <c r="N804" s="37">
        <v>806.99</v>
      </c>
    </row>
    <row r="805" spans="1:14" x14ac:dyDescent="0.25">
      <c r="A805" s="1">
        <v>46056</v>
      </c>
      <c r="B805">
        <v>1</v>
      </c>
      <c r="C805" t="s">
        <v>541</v>
      </c>
      <c r="D805" t="s">
        <v>10</v>
      </c>
      <c r="E805" t="s">
        <v>83</v>
      </c>
      <c r="F805" t="s">
        <v>41</v>
      </c>
      <c r="G805" t="s">
        <v>13</v>
      </c>
      <c r="I805" s="37">
        <v>746.99</v>
      </c>
      <c r="K805" s="37">
        <v>1.99</v>
      </c>
      <c r="L805" s="37">
        <v>745</v>
      </c>
      <c r="N805" s="37">
        <v>745</v>
      </c>
    </row>
    <row r="806" spans="1:14" x14ac:dyDescent="0.25">
      <c r="A806" s="1">
        <v>46056</v>
      </c>
      <c r="B806">
        <v>1</v>
      </c>
      <c r="C806" t="s">
        <v>541</v>
      </c>
      <c r="D806" t="s">
        <v>10</v>
      </c>
      <c r="E806" t="s">
        <v>85</v>
      </c>
      <c r="F806" t="s">
        <v>28</v>
      </c>
      <c r="G806" t="s">
        <v>66</v>
      </c>
      <c r="I806" s="37">
        <v>931.99</v>
      </c>
      <c r="J806" s="37">
        <v>61.01</v>
      </c>
      <c r="L806" s="37">
        <v>993</v>
      </c>
      <c r="N806" s="37">
        <v>993</v>
      </c>
    </row>
    <row r="807" spans="1:14" x14ac:dyDescent="0.25">
      <c r="A807" s="1">
        <v>46056</v>
      </c>
      <c r="B807">
        <v>1</v>
      </c>
      <c r="C807" t="s">
        <v>541</v>
      </c>
      <c r="D807" t="s">
        <v>10</v>
      </c>
      <c r="E807" t="s">
        <v>87</v>
      </c>
      <c r="F807" t="s">
        <v>28</v>
      </c>
      <c r="G807" t="s">
        <v>13</v>
      </c>
      <c r="I807" s="37">
        <v>931.99</v>
      </c>
      <c r="K807" s="37">
        <v>1.99</v>
      </c>
      <c r="L807" s="37">
        <v>930</v>
      </c>
      <c r="N807" s="37">
        <v>930</v>
      </c>
    </row>
    <row r="808" spans="1:14" x14ac:dyDescent="0.25">
      <c r="A808" s="1">
        <v>46056</v>
      </c>
      <c r="B808">
        <v>1</v>
      </c>
      <c r="C808" t="s">
        <v>541</v>
      </c>
      <c r="D808" t="s">
        <v>10</v>
      </c>
      <c r="E808" t="s">
        <v>90</v>
      </c>
      <c r="F808" t="s">
        <v>91</v>
      </c>
      <c r="G808" t="s">
        <v>22</v>
      </c>
      <c r="I808" s="37">
        <v>550</v>
      </c>
      <c r="K808" s="37">
        <v>393</v>
      </c>
      <c r="L808" s="37">
        <v>157</v>
      </c>
      <c r="N808" s="37">
        <v>157</v>
      </c>
    </row>
    <row r="809" spans="1:14" x14ac:dyDescent="0.25">
      <c r="A809" s="1">
        <v>46056</v>
      </c>
      <c r="B809">
        <v>1</v>
      </c>
      <c r="C809" t="s">
        <v>541</v>
      </c>
      <c r="D809" t="s">
        <v>10</v>
      </c>
      <c r="E809" t="s">
        <v>93</v>
      </c>
      <c r="F809" t="s">
        <v>94</v>
      </c>
      <c r="G809" t="s">
        <v>95</v>
      </c>
      <c r="I809" s="37">
        <v>746.99</v>
      </c>
      <c r="J809" s="37">
        <v>30.01</v>
      </c>
      <c r="L809" s="37">
        <v>777</v>
      </c>
      <c r="N809" s="37">
        <v>777</v>
      </c>
    </row>
    <row r="810" spans="1:14" x14ac:dyDescent="0.25">
      <c r="A810" s="1">
        <v>46056</v>
      </c>
      <c r="B810">
        <v>1</v>
      </c>
      <c r="C810" t="s">
        <v>541</v>
      </c>
      <c r="D810" t="s">
        <v>10</v>
      </c>
      <c r="E810" t="s">
        <v>102</v>
      </c>
      <c r="F810" t="s">
        <v>103</v>
      </c>
      <c r="G810" t="s">
        <v>104</v>
      </c>
      <c r="I810" s="37">
        <v>801.99</v>
      </c>
      <c r="L810" s="37">
        <v>801.99</v>
      </c>
      <c r="N810" s="37">
        <v>801.99</v>
      </c>
    </row>
    <row r="811" spans="1:14" x14ac:dyDescent="0.25">
      <c r="A811" s="1">
        <v>46056</v>
      </c>
      <c r="B811">
        <v>1</v>
      </c>
      <c r="C811" t="s">
        <v>541</v>
      </c>
      <c r="D811" t="s">
        <v>10</v>
      </c>
      <c r="E811" t="s">
        <v>307</v>
      </c>
      <c r="F811" t="s">
        <v>214</v>
      </c>
      <c r="G811" t="s">
        <v>66</v>
      </c>
      <c r="I811" s="37">
        <v>851.99</v>
      </c>
      <c r="L811" s="37">
        <v>896.99</v>
      </c>
      <c r="N811" s="37">
        <v>851.99</v>
      </c>
    </row>
    <row r="812" spans="1:14" x14ac:dyDescent="0.25">
      <c r="A812" s="1">
        <v>46056</v>
      </c>
      <c r="B812">
        <v>1</v>
      </c>
      <c r="C812" t="s">
        <v>541</v>
      </c>
      <c r="D812" t="s">
        <v>136</v>
      </c>
      <c r="E812" t="s">
        <v>108</v>
      </c>
      <c r="F812" t="s">
        <v>55</v>
      </c>
      <c r="G812" t="s">
        <v>104</v>
      </c>
      <c r="I812" s="37">
        <v>746.99</v>
      </c>
      <c r="L812" s="37">
        <v>746.99</v>
      </c>
    </row>
    <row r="813" spans="1:14" x14ac:dyDescent="0.25">
      <c r="A813" s="1">
        <v>46056</v>
      </c>
      <c r="B813">
        <v>1</v>
      </c>
      <c r="C813" t="s">
        <v>541</v>
      </c>
      <c r="D813" t="s">
        <v>10</v>
      </c>
      <c r="E813" t="s">
        <v>110</v>
      </c>
      <c r="F813" t="s">
        <v>55</v>
      </c>
      <c r="G813" t="s">
        <v>111</v>
      </c>
      <c r="I813" s="37">
        <v>746.99</v>
      </c>
      <c r="J813" s="37">
        <v>60.01</v>
      </c>
      <c r="L813" s="37">
        <v>807</v>
      </c>
      <c r="N813" s="37">
        <v>807</v>
      </c>
    </row>
    <row r="814" spans="1:14" x14ac:dyDescent="0.25">
      <c r="A814" s="1">
        <v>46056</v>
      </c>
      <c r="B814">
        <v>1</v>
      </c>
      <c r="C814" t="s">
        <v>541</v>
      </c>
      <c r="D814" t="s">
        <v>10</v>
      </c>
      <c r="E814" t="s">
        <v>113</v>
      </c>
      <c r="F814" t="s">
        <v>12</v>
      </c>
      <c r="G814" t="s">
        <v>13</v>
      </c>
      <c r="I814" s="37">
        <v>746.99</v>
      </c>
      <c r="K814" s="37">
        <v>1.99</v>
      </c>
      <c r="L814" s="37">
        <v>745</v>
      </c>
      <c r="N814" s="37">
        <v>745</v>
      </c>
    </row>
    <row r="815" spans="1:14" x14ac:dyDescent="0.25">
      <c r="A815" s="1">
        <v>46056</v>
      </c>
      <c r="B815">
        <v>1</v>
      </c>
      <c r="C815" t="s">
        <v>541</v>
      </c>
      <c r="D815" t="s">
        <v>10</v>
      </c>
      <c r="E815" t="s">
        <v>331</v>
      </c>
      <c r="F815" t="s">
        <v>12</v>
      </c>
      <c r="G815" t="s">
        <v>13</v>
      </c>
      <c r="I815" s="37">
        <v>746.99</v>
      </c>
      <c r="L815" s="37">
        <v>791.99</v>
      </c>
      <c r="N815" s="37">
        <v>746.99</v>
      </c>
    </row>
    <row r="816" spans="1:14" x14ac:dyDescent="0.25">
      <c r="A816" s="1">
        <v>46056</v>
      </c>
      <c r="B816">
        <v>1</v>
      </c>
      <c r="C816" t="s">
        <v>541</v>
      </c>
      <c r="D816" t="s">
        <v>10</v>
      </c>
      <c r="E816" t="s">
        <v>118</v>
      </c>
      <c r="F816" t="s">
        <v>119</v>
      </c>
      <c r="G816" t="s">
        <v>13</v>
      </c>
      <c r="I816" s="37">
        <v>851.99</v>
      </c>
      <c r="J816" s="37">
        <v>30</v>
      </c>
      <c r="L816" s="37">
        <v>881.99</v>
      </c>
      <c r="N816" s="37">
        <v>881.99</v>
      </c>
    </row>
    <row r="817" spans="1:14" x14ac:dyDescent="0.25">
      <c r="A817" s="1">
        <v>46056</v>
      </c>
      <c r="B817">
        <v>1</v>
      </c>
      <c r="C817" t="s">
        <v>541</v>
      </c>
      <c r="D817" t="s">
        <v>10</v>
      </c>
      <c r="E817" t="s">
        <v>121</v>
      </c>
      <c r="F817" t="s">
        <v>52</v>
      </c>
      <c r="G817" t="s">
        <v>122</v>
      </c>
      <c r="I817" s="37">
        <v>1251.99</v>
      </c>
      <c r="L817" s="37">
        <v>1251.99</v>
      </c>
      <c r="N817" s="37">
        <v>1251.99</v>
      </c>
    </row>
    <row r="818" spans="1:14" x14ac:dyDescent="0.25">
      <c r="A818" s="1">
        <v>46056</v>
      </c>
      <c r="B818">
        <v>1</v>
      </c>
      <c r="C818" t="s">
        <v>541</v>
      </c>
      <c r="D818" t="s">
        <v>10</v>
      </c>
      <c r="E818" t="s">
        <v>124</v>
      </c>
      <c r="F818" t="s">
        <v>52</v>
      </c>
      <c r="G818" t="s">
        <v>77</v>
      </c>
      <c r="I818" s="37">
        <v>1251.99</v>
      </c>
      <c r="J818" s="37">
        <v>60</v>
      </c>
      <c r="L818" s="37">
        <v>1311.99</v>
      </c>
      <c r="N818" s="37">
        <v>1311.99</v>
      </c>
    </row>
    <row r="819" spans="1:14" x14ac:dyDescent="0.25">
      <c r="A819" s="1">
        <v>46056</v>
      </c>
      <c r="B819">
        <v>1</v>
      </c>
      <c r="C819" t="s">
        <v>541</v>
      </c>
      <c r="D819" t="s">
        <v>10</v>
      </c>
      <c r="E819" t="s">
        <v>302</v>
      </c>
      <c r="F819" t="s">
        <v>37</v>
      </c>
      <c r="G819" t="s">
        <v>13</v>
      </c>
      <c r="I819" s="37">
        <v>746.99</v>
      </c>
      <c r="L819" s="37">
        <v>791.99</v>
      </c>
      <c r="N819" s="37">
        <v>746.99</v>
      </c>
    </row>
    <row r="820" spans="1:14" x14ac:dyDescent="0.25">
      <c r="A820" s="1">
        <v>46056</v>
      </c>
      <c r="B820">
        <v>1</v>
      </c>
      <c r="C820" t="s">
        <v>541</v>
      </c>
      <c r="D820" t="s">
        <v>10</v>
      </c>
      <c r="E820" t="s">
        <v>126</v>
      </c>
      <c r="F820" t="s">
        <v>55</v>
      </c>
      <c r="G820" t="s">
        <v>56</v>
      </c>
      <c r="I820" s="37">
        <v>746.99</v>
      </c>
      <c r="K820" s="37">
        <v>1.99</v>
      </c>
      <c r="L820" s="37">
        <v>745</v>
      </c>
      <c r="N820" s="37">
        <v>745</v>
      </c>
    </row>
    <row r="821" spans="1:14" x14ac:dyDescent="0.25">
      <c r="A821" s="1">
        <v>46056</v>
      </c>
      <c r="B821">
        <v>1</v>
      </c>
      <c r="C821" t="s">
        <v>541</v>
      </c>
      <c r="D821" t="s">
        <v>10</v>
      </c>
      <c r="E821" t="s">
        <v>128</v>
      </c>
      <c r="F821" t="s">
        <v>25</v>
      </c>
      <c r="G821" t="s">
        <v>13</v>
      </c>
      <c r="I821" s="37">
        <v>1351.99</v>
      </c>
      <c r="L821" s="37">
        <v>1351.99</v>
      </c>
      <c r="N821" s="37">
        <v>1351.99</v>
      </c>
    </row>
    <row r="822" spans="1:14" x14ac:dyDescent="0.25">
      <c r="A822" s="1">
        <v>46056</v>
      </c>
      <c r="B822">
        <v>1</v>
      </c>
      <c r="C822" t="s">
        <v>541</v>
      </c>
      <c r="D822" t="s">
        <v>10</v>
      </c>
      <c r="E822" t="s">
        <v>130</v>
      </c>
      <c r="F822" t="s">
        <v>28</v>
      </c>
      <c r="G822" t="s">
        <v>13</v>
      </c>
      <c r="I822" s="37">
        <v>931.99</v>
      </c>
      <c r="L822" s="37">
        <v>931.99</v>
      </c>
      <c r="N822" s="37">
        <v>931.99</v>
      </c>
    </row>
    <row r="823" spans="1:14" x14ac:dyDescent="0.25">
      <c r="A823" s="1">
        <v>46056</v>
      </c>
      <c r="B823">
        <v>1</v>
      </c>
      <c r="C823" t="s">
        <v>541</v>
      </c>
      <c r="D823" t="s">
        <v>10</v>
      </c>
      <c r="E823" t="s">
        <v>132</v>
      </c>
      <c r="F823" t="s">
        <v>76</v>
      </c>
      <c r="G823" t="s">
        <v>77</v>
      </c>
      <c r="I823" s="37">
        <v>1451.99</v>
      </c>
      <c r="J823" s="37">
        <v>60</v>
      </c>
      <c r="L823" s="37">
        <v>1511.99</v>
      </c>
      <c r="N823" s="37">
        <v>1511.99</v>
      </c>
    </row>
    <row r="824" spans="1:14" x14ac:dyDescent="0.25">
      <c r="A824" s="1">
        <v>46056</v>
      </c>
      <c r="B824">
        <v>1</v>
      </c>
      <c r="C824" t="s">
        <v>541</v>
      </c>
      <c r="D824" t="s">
        <v>10</v>
      </c>
      <c r="E824" t="s">
        <v>134</v>
      </c>
      <c r="F824" t="s">
        <v>69</v>
      </c>
      <c r="G824" t="s">
        <v>38</v>
      </c>
      <c r="I824" s="37">
        <v>746.99</v>
      </c>
      <c r="K824" s="37">
        <v>1.99</v>
      </c>
      <c r="L824" s="37">
        <v>745</v>
      </c>
      <c r="N824" s="37">
        <v>745</v>
      </c>
    </row>
    <row r="825" spans="1:14" x14ac:dyDescent="0.25">
      <c r="A825" s="1">
        <v>46056</v>
      </c>
      <c r="B825">
        <v>1</v>
      </c>
      <c r="C825" t="s">
        <v>541</v>
      </c>
      <c r="D825" t="s">
        <v>10</v>
      </c>
      <c r="E825" t="s">
        <v>137</v>
      </c>
      <c r="F825" t="s">
        <v>12</v>
      </c>
      <c r="G825" t="s">
        <v>13</v>
      </c>
      <c r="I825" s="37">
        <v>746.99</v>
      </c>
      <c r="K825" s="37">
        <v>0.09</v>
      </c>
      <c r="L825" s="37">
        <v>791.9</v>
      </c>
      <c r="N825" s="37">
        <v>746.9</v>
      </c>
    </row>
    <row r="826" spans="1:14" x14ac:dyDescent="0.25">
      <c r="A826" s="1">
        <v>46056</v>
      </c>
      <c r="B826">
        <v>1</v>
      </c>
      <c r="C826" t="s">
        <v>541</v>
      </c>
      <c r="D826" t="s">
        <v>10</v>
      </c>
      <c r="E826" t="s">
        <v>138</v>
      </c>
      <c r="F826" t="s">
        <v>12</v>
      </c>
      <c r="G826" t="s">
        <v>13</v>
      </c>
      <c r="I826" s="37">
        <v>746.99</v>
      </c>
      <c r="K826" s="37">
        <v>0.09</v>
      </c>
      <c r="L826" s="37">
        <v>746.9</v>
      </c>
      <c r="N826" s="37">
        <v>746.9</v>
      </c>
    </row>
    <row r="827" spans="1:14" x14ac:dyDescent="0.25">
      <c r="A827" s="1">
        <v>46056</v>
      </c>
      <c r="B827">
        <v>1</v>
      </c>
      <c r="C827" t="s">
        <v>541</v>
      </c>
      <c r="D827" t="s">
        <v>10</v>
      </c>
      <c r="E827" t="s">
        <v>140</v>
      </c>
      <c r="F827" t="s">
        <v>28</v>
      </c>
      <c r="G827" t="s">
        <v>13</v>
      </c>
      <c r="I827" s="37">
        <v>931.99</v>
      </c>
      <c r="L827" s="37">
        <v>931.99</v>
      </c>
      <c r="N827" s="37">
        <v>931.99</v>
      </c>
    </row>
    <row r="828" spans="1:14" x14ac:dyDescent="0.25">
      <c r="A828" s="1">
        <v>46056</v>
      </c>
      <c r="B828">
        <v>1</v>
      </c>
      <c r="C828" t="s">
        <v>541</v>
      </c>
      <c r="D828" t="s">
        <v>10</v>
      </c>
      <c r="E828" t="s">
        <v>142</v>
      </c>
      <c r="F828" t="s">
        <v>55</v>
      </c>
      <c r="G828" t="s">
        <v>95</v>
      </c>
      <c r="I828" s="37">
        <v>746.99</v>
      </c>
      <c r="L828" s="37">
        <v>746.99</v>
      </c>
      <c r="N828" s="37">
        <v>746.99</v>
      </c>
    </row>
    <row r="829" spans="1:14" x14ac:dyDescent="0.25">
      <c r="A829" s="1">
        <v>46056</v>
      </c>
      <c r="B829">
        <v>1</v>
      </c>
      <c r="C829" t="s">
        <v>541</v>
      </c>
      <c r="D829" t="s">
        <v>10</v>
      </c>
      <c r="E829" t="s">
        <v>144</v>
      </c>
      <c r="F829" t="s">
        <v>145</v>
      </c>
      <c r="G829" t="s">
        <v>66</v>
      </c>
      <c r="I829" s="37">
        <v>1351.99</v>
      </c>
      <c r="L829" s="37">
        <v>1351.99</v>
      </c>
      <c r="N829" s="37">
        <v>1351.99</v>
      </c>
    </row>
    <row r="830" spans="1:14" x14ac:dyDescent="0.25">
      <c r="A830" s="1">
        <v>46056</v>
      </c>
      <c r="B830">
        <v>1</v>
      </c>
      <c r="C830" t="s">
        <v>541</v>
      </c>
      <c r="D830" t="s">
        <v>10</v>
      </c>
      <c r="E830" t="s">
        <v>147</v>
      </c>
      <c r="F830" t="s">
        <v>33</v>
      </c>
      <c r="G830" t="s">
        <v>13</v>
      </c>
      <c r="I830" s="37">
        <v>851.99</v>
      </c>
      <c r="K830" s="37">
        <v>120</v>
      </c>
      <c r="L830" s="37">
        <v>776.99</v>
      </c>
      <c r="N830" s="37">
        <v>746.99</v>
      </c>
    </row>
    <row r="831" spans="1:14" x14ac:dyDescent="0.25">
      <c r="A831" s="1">
        <v>46056</v>
      </c>
      <c r="B831">
        <v>1</v>
      </c>
      <c r="C831" t="s">
        <v>541</v>
      </c>
      <c r="D831" t="s">
        <v>10</v>
      </c>
      <c r="E831" t="s">
        <v>149</v>
      </c>
      <c r="F831" t="s">
        <v>33</v>
      </c>
      <c r="G831" t="s">
        <v>13</v>
      </c>
      <c r="I831" s="37">
        <v>851.99</v>
      </c>
      <c r="J831" s="37">
        <v>60.01</v>
      </c>
      <c r="L831" s="37">
        <v>912</v>
      </c>
      <c r="N831" s="37">
        <v>912</v>
      </c>
    </row>
    <row r="832" spans="1:14" x14ac:dyDescent="0.25">
      <c r="A832" s="1">
        <v>46056</v>
      </c>
      <c r="B832">
        <v>1</v>
      </c>
      <c r="C832" t="s">
        <v>541</v>
      </c>
      <c r="D832" t="s">
        <v>10</v>
      </c>
      <c r="E832" t="s">
        <v>97</v>
      </c>
      <c r="F832" t="s">
        <v>33</v>
      </c>
      <c r="G832" t="s">
        <v>13</v>
      </c>
      <c r="I832" s="37">
        <v>851.99</v>
      </c>
      <c r="L832" s="37">
        <v>1346.99</v>
      </c>
      <c r="N832" s="37">
        <v>851.99</v>
      </c>
    </row>
    <row r="833" spans="1:14" x14ac:dyDescent="0.25">
      <c r="A833" s="1">
        <v>46056</v>
      </c>
      <c r="B833">
        <v>1</v>
      </c>
      <c r="C833" t="s">
        <v>541</v>
      </c>
      <c r="D833" t="s">
        <v>10</v>
      </c>
      <c r="E833" t="s">
        <v>151</v>
      </c>
      <c r="F833" t="s">
        <v>33</v>
      </c>
      <c r="G833" t="s">
        <v>38</v>
      </c>
      <c r="I833" s="37">
        <v>851.99</v>
      </c>
      <c r="L833" s="37">
        <v>851.99</v>
      </c>
      <c r="N833" s="37">
        <v>851.99</v>
      </c>
    </row>
    <row r="834" spans="1:14" x14ac:dyDescent="0.25">
      <c r="A834" s="1">
        <v>46056</v>
      </c>
      <c r="B834">
        <v>1</v>
      </c>
      <c r="C834" t="s">
        <v>541</v>
      </c>
      <c r="D834" t="s">
        <v>10</v>
      </c>
      <c r="E834" t="s">
        <v>153</v>
      </c>
      <c r="F834" t="s">
        <v>12</v>
      </c>
      <c r="G834" t="s">
        <v>13</v>
      </c>
      <c r="I834" s="37">
        <v>746.99</v>
      </c>
      <c r="L834" s="37">
        <v>746.99</v>
      </c>
      <c r="N834" s="37">
        <v>746.99</v>
      </c>
    </row>
    <row r="835" spans="1:14" x14ac:dyDescent="0.25">
      <c r="A835" s="1">
        <v>46056</v>
      </c>
      <c r="B835">
        <v>1</v>
      </c>
      <c r="C835" t="s">
        <v>541</v>
      </c>
      <c r="D835" t="s">
        <v>10</v>
      </c>
      <c r="E835" t="s">
        <v>155</v>
      </c>
      <c r="F835" t="s">
        <v>33</v>
      </c>
      <c r="G835" t="s">
        <v>38</v>
      </c>
      <c r="I835" s="37">
        <v>851.99</v>
      </c>
      <c r="J835" s="37">
        <v>60</v>
      </c>
      <c r="L835" s="37">
        <v>911.99</v>
      </c>
      <c r="N835" s="37">
        <v>911.99</v>
      </c>
    </row>
    <row r="836" spans="1:14" x14ac:dyDescent="0.25">
      <c r="A836" s="1">
        <v>46056</v>
      </c>
      <c r="B836">
        <v>1</v>
      </c>
      <c r="C836" t="s">
        <v>541</v>
      </c>
      <c r="D836" t="s">
        <v>10</v>
      </c>
      <c r="E836" t="s">
        <v>342</v>
      </c>
      <c r="F836" t="s">
        <v>41</v>
      </c>
      <c r="G836" t="s">
        <v>13</v>
      </c>
      <c r="I836" s="37">
        <v>746.99</v>
      </c>
      <c r="J836" s="37">
        <v>60</v>
      </c>
      <c r="L836" s="37">
        <v>806.99</v>
      </c>
      <c r="N836" s="37">
        <v>806.99</v>
      </c>
    </row>
    <row r="837" spans="1:14" x14ac:dyDescent="0.25">
      <c r="A837" s="1">
        <v>46056</v>
      </c>
      <c r="B837">
        <v>1</v>
      </c>
      <c r="C837" t="s">
        <v>541</v>
      </c>
      <c r="D837" t="s">
        <v>10</v>
      </c>
      <c r="E837" t="s">
        <v>157</v>
      </c>
      <c r="F837" t="s">
        <v>158</v>
      </c>
      <c r="G837" t="s">
        <v>111</v>
      </c>
      <c r="I837" s="37">
        <v>746.99</v>
      </c>
      <c r="K837" s="37">
        <v>211.99</v>
      </c>
      <c r="L837" s="37">
        <v>535</v>
      </c>
      <c r="N837" s="37">
        <v>535</v>
      </c>
    </row>
    <row r="838" spans="1:14" x14ac:dyDescent="0.25">
      <c r="A838" s="1">
        <v>46056</v>
      </c>
      <c r="B838">
        <v>1</v>
      </c>
      <c r="C838" t="s">
        <v>541</v>
      </c>
      <c r="D838" t="s">
        <v>10</v>
      </c>
      <c r="E838" t="s">
        <v>106</v>
      </c>
      <c r="F838" t="s">
        <v>12</v>
      </c>
      <c r="G838" t="s">
        <v>13</v>
      </c>
      <c r="I838" s="37">
        <v>746.99</v>
      </c>
      <c r="L838" s="37">
        <v>791.99</v>
      </c>
      <c r="N838" s="37">
        <v>746.99</v>
      </c>
    </row>
    <row r="839" spans="1:14" x14ac:dyDescent="0.25">
      <c r="A839" s="1">
        <v>46056</v>
      </c>
      <c r="B839">
        <v>1</v>
      </c>
      <c r="C839" t="s">
        <v>542</v>
      </c>
      <c r="D839" t="s">
        <v>89</v>
      </c>
      <c r="E839" t="s">
        <v>160</v>
      </c>
      <c r="F839" t="s">
        <v>158</v>
      </c>
      <c r="G839" t="s">
        <v>22</v>
      </c>
      <c r="I839" s="37">
        <v>746.99</v>
      </c>
      <c r="L839" s="37">
        <v>746.99</v>
      </c>
    </row>
    <row r="840" spans="1:14" x14ac:dyDescent="0.25">
      <c r="A840" s="1">
        <v>46056</v>
      </c>
      <c r="B840">
        <v>1</v>
      </c>
      <c r="C840" t="s">
        <v>541</v>
      </c>
      <c r="D840" t="s">
        <v>10</v>
      </c>
      <c r="E840" t="s">
        <v>46</v>
      </c>
      <c r="F840" t="s">
        <v>12</v>
      </c>
      <c r="G840" t="s">
        <v>13</v>
      </c>
      <c r="I840" s="37">
        <v>746.99</v>
      </c>
      <c r="J840" s="37">
        <v>0.01</v>
      </c>
      <c r="L840" s="37">
        <v>747</v>
      </c>
      <c r="N840" s="37">
        <v>747</v>
      </c>
    </row>
    <row r="841" spans="1:14" x14ac:dyDescent="0.25">
      <c r="A841" s="1">
        <v>46056</v>
      </c>
      <c r="B841">
        <v>1</v>
      </c>
      <c r="C841" t="s">
        <v>541</v>
      </c>
      <c r="D841" t="s">
        <v>10</v>
      </c>
      <c r="E841" t="s">
        <v>244</v>
      </c>
      <c r="F841" t="s">
        <v>245</v>
      </c>
      <c r="G841" t="s">
        <v>13</v>
      </c>
      <c r="I841" s="37">
        <v>746.99</v>
      </c>
      <c r="L841" s="37">
        <v>791.99</v>
      </c>
      <c r="N841" s="37">
        <v>746.99</v>
      </c>
    </row>
    <row r="842" spans="1:14" x14ac:dyDescent="0.25">
      <c r="A842" s="1">
        <v>46056</v>
      </c>
      <c r="B842">
        <v>1</v>
      </c>
      <c r="C842" t="s">
        <v>541</v>
      </c>
      <c r="D842" t="s">
        <v>10</v>
      </c>
      <c r="E842" t="s">
        <v>164</v>
      </c>
      <c r="F842" t="s">
        <v>12</v>
      </c>
      <c r="G842" t="s">
        <v>13</v>
      </c>
      <c r="I842" s="37">
        <v>746.99</v>
      </c>
      <c r="J842" s="37">
        <v>59.5</v>
      </c>
      <c r="L842" s="37">
        <v>806.49</v>
      </c>
      <c r="N842" s="37">
        <v>806.49</v>
      </c>
    </row>
    <row r="843" spans="1:14" x14ac:dyDescent="0.25">
      <c r="A843" s="1">
        <v>46056</v>
      </c>
      <c r="B843">
        <v>1</v>
      </c>
      <c r="C843" t="s">
        <v>541</v>
      </c>
      <c r="D843" t="s">
        <v>10</v>
      </c>
      <c r="E843" t="s">
        <v>166</v>
      </c>
      <c r="F843" t="s">
        <v>12</v>
      </c>
      <c r="G843" t="s">
        <v>13</v>
      </c>
      <c r="I843" s="37">
        <v>746.99</v>
      </c>
      <c r="K843" s="37">
        <v>1.99</v>
      </c>
      <c r="L843" s="37">
        <v>745</v>
      </c>
      <c r="N843" s="37">
        <v>745</v>
      </c>
    </row>
    <row r="844" spans="1:14" x14ac:dyDescent="0.25">
      <c r="A844" s="1">
        <v>46056</v>
      </c>
      <c r="B844">
        <v>1</v>
      </c>
      <c r="C844" t="s">
        <v>541</v>
      </c>
      <c r="D844" t="s">
        <v>10</v>
      </c>
      <c r="E844" t="s">
        <v>168</v>
      </c>
      <c r="F844" t="s">
        <v>69</v>
      </c>
      <c r="G844" t="s">
        <v>169</v>
      </c>
      <c r="I844" s="37">
        <v>746.99</v>
      </c>
      <c r="L844" s="37">
        <v>746.99</v>
      </c>
      <c r="M844" s="37">
        <v>273.14999999999998</v>
      </c>
      <c r="N844" s="37">
        <v>746.99</v>
      </c>
    </row>
    <row r="845" spans="1:14" x14ac:dyDescent="0.25">
      <c r="A845" s="1">
        <v>46056</v>
      </c>
      <c r="B845">
        <v>1</v>
      </c>
      <c r="C845" t="s">
        <v>541</v>
      </c>
      <c r="D845" t="s">
        <v>10</v>
      </c>
      <c r="E845" t="s">
        <v>177</v>
      </c>
      <c r="F845" t="s">
        <v>178</v>
      </c>
      <c r="G845" t="s">
        <v>13</v>
      </c>
      <c r="I845" s="37">
        <v>851.99</v>
      </c>
      <c r="L845" s="37">
        <v>851.99</v>
      </c>
      <c r="N845" s="37">
        <v>851.99</v>
      </c>
    </row>
    <row r="846" spans="1:14" x14ac:dyDescent="0.25">
      <c r="A846" s="1">
        <v>46056</v>
      </c>
      <c r="B846">
        <v>1</v>
      </c>
      <c r="C846" t="s">
        <v>541</v>
      </c>
      <c r="D846" t="s">
        <v>10</v>
      </c>
      <c r="E846" t="s">
        <v>182</v>
      </c>
      <c r="F846" t="s">
        <v>25</v>
      </c>
      <c r="G846" t="s">
        <v>183</v>
      </c>
      <c r="I846" s="37">
        <v>1251.99</v>
      </c>
      <c r="K846" s="37">
        <v>1.99</v>
      </c>
      <c r="L846" s="37">
        <v>1250</v>
      </c>
      <c r="N846" s="37">
        <v>1250</v>
      </c>
    </row>
    <row r="847" spans="1:14" x14ac:dyDescent="0.25">
      <c r="A847" s="1">
        <v>46056</v>
      </c>
      <c r="B847">
        <v>1</v>
      </c>
      <c r="C847" t="s">
        <v>541</v>
      </c>
      <c r="D847" t="s">
        <v>10</v>
      </c>
      <c r="E847" t="s">
        <v>707</v>
      </c>
      <c r="F847" t="s">
        <v>73</v>
      </c>
      <c r="G847" t="s">
        <v>13</v>
      </c>
      <c r="I847" s="37">
        <v>2001.99</v>
      </c>
      <c r="L847" s="37">
        <v>2496.9899999999998</v>
      </c>
      <c r="N847" s="37">
        <v>2001.99</v>
      </c>
    </row>
    <row r="848" spans="1:14" x14ac:dyDescent="0.25">
      <c r="A848" s="1">
        <v>46056</v>
      </c>
      <c r="B848">
        <v>1</v>
      </c>
      <c r="C848" t="s">
        <v>541</v>
      </c>
      <c r="D848" t="s">
        <v>10</v>
      </c>
      <c r="E848" t="s">
        <v>185</v>
      </c>
      <c r="F848" t="s">
        <v>12</v>
      </c>
      <c r="G848" t="s">
        <v>13</v>
      </c>
      <c r="I848" s="37">
        <v>746.99</v>
      </c>
      <c r="K848" s="37">
        <v>0.99</v>
      </c>
      <c r="L848" s="37">
        <v>746</v>
      </c>
      <c r="N848" s="37">
        <v>746</v>
      </c>
    </row>
    <row r="849" spans="1:14" x14ac:dyDescent="0.25">
      <c r="A849" s="1">
        <v>46056</v>
      </c>
      <c r="B849">
        <v>1</v>
      </c>
      <c r="C849" t="s">
        <v>541</v>
      </c>
      <c r="D849" t="s">
        <v>10</v>
      </c>
      <c r="E849" t="s">
        <v>187</v>
      </c>
      <c r="F849" t="s">
        <v>12</v>
      </c>
      <c r="G849" t="s">
        <v>13</v>
      </c>
      <c r="I849" s="37">
        <v>746.99</v>
      </c>
      <c r="J849" s="37">
        <v>0.01</v>
      </c>
      <c r="L849" s="37">
        <v>747</v>
      </c>
      <c r="N849" s="37">
        <v>747</v>
      </c>
    </row>
    <row r="850" spans="1:14" x14ac:dyDescent="0.25">
      <c r="A850" s="1">
        <v>46056</v>
      </c>
      <c r="B850">
        <v>1</v>
      </c>
      <c r="C850" t="s">
        <v>541</v>
      </c>
      <c r="D850" t="s">
        <v>10</v>
      </c>
      <c r="E850" t="s">
        <v>308</v>
      </c>
      <c r="F850" t="s">
        <v>28</v>
      </c>
      <c r="G850" t="s">
        <v>13</v>
      </c>
      <c r="I850" s="37">
        <v>931.99</v>
      </c>
      <c r="L850" s="37">
        <v>931.99</v>
      </c>
      <c r="N850" s="37">
        <v>931.99</v>
      </c>
    </row>
    <row r="851" spans="1:14" x14ac:dyDescent="0.25">
      <c r="A851" s="1">
        <v>46056</v>
      </c>
      <c r="B851">
        <v>1</v>
      </c>
      <c r="C851" t="s">
        <v>541</v>
      </c>
      <c r="D851" t="s">
        <v>10</v>
      </c>
      <c r="E851" t="s">
        <v>189</v>
      </c>
      <c r="F851" t="s">
        <v>12</v>
      </c>
      <c r="G851" t="s">
        <v>13</v>
      </c>
      <c r="I851" s="37">
        <v>746.99</v>
      </c>
      <c r="K851" s="37">
        <v>1.99</v>
      </c>
      <c r="L851" s="37">
        <v>745</v>
      </c>
      <c r="N851" s="37">
        <v>745</v>
      </c>
    </row>
    <row r="852" spans="1:14" x14ac:dyDescent="0.25">
      <c r="A852" s="1">
        <v>46056</v>
      </c>
      <c r="B852">
        <v>1</v>
      </c>
      <c r="C852" t="s">
        <v>541</v>
      </c>
      <c r="D852" t="s">
        <v>10</v>
      </c>
      <c r="E852" t="s">
        <v>191</v>
      </c>
      <c r="F852" t="s">
        <v>55</v>
      </c>
      <c r="G852" t="s">
        <v>13</v>
      </c>
      <c r="I852" s="37">
        <v>746.99</v>
      </c>
      <c r="J852" s="37">
        <v>60</v>
      </c>
      <c r="K852" s="37">
        <v>0.99</v>
      </c>
      <c r="L852" s="37">
        <v>806</v>
      </c>
      <c r="N852" s="37">
        <v>806</v>
      </c>
    </row>
    <row r="853" spans="1:14" x14ac:dyDescent="0.25">
      <c r="A853" s="1">
        <v>46056</v>
      </c>
      <c r="B853">
        <v>1</v>
      </c>
      <c r="C853" t="s">
        <v>541</v>
      </c>
      <c r="D853" t="s">
        <v>10</v>
      </c>
      <c r="E853" t="s">
        <v>193</v>
      </c>
      <c r="F853" t="s">
        <v>12</v>
      </c>
      <c r="G853" t="s">
        <v>13</v>
      </c>
      <c r="I853" s="37">
        <v>746.99</v>
      </c>
      <c r="K853" s="37">
        <v>1.99</v>
      </c>
      <c r="L853" s="37">
        <v>745</v>
      </c>
      <c r="N853" s="37">
        <v>745</v>
      </c>
    </row>
    <row r="854" spans="1:14" x14ac:dyDescent="0.25">
      <c r="A854" s="1">
        <v>46056</v>
      </c>
      <c r="B854">
        <v>1</v>
      </c>
      <c r="C854" t="s">
        <v>541</v>
      </c>
      <c r="D854" t="s">
        <v>10</v>
      </c>
      <c r="E854" t="s">
        <v>195</v>
      </c>
      <c r="F854" t="s">
        <v>196</v>
      </c>
      <c r="G854" t="s">
        <v>22</v>
      </c>
      <c r="I854" s="37">
        <v>680</v>
      </c>
      <c r="L854" s="37">
        <v>680</v>
      </c>
      <c r="N854" s="37">
        <v>680</v>
      </c>
    </row>
    <row r="855" spans="1:14" x14ac:dyDescent="0.25">
      <c r="A855" s="1">
        <v>46056</v>
      </c>
      <c r="B855">
        <v>1</v>
      </c>
      <c r="C855" t="s">
        <v>541</v>
      </c>
      <c r="D855" t="s">
        <v>10</v>
      </c>
      <c r="E855" t="s">
        <v>198</v>
      </c>
      <c r="F855" t="s">
        <v>199</v>
      </c>
      <c r="G855" t="s">
        <v>38</v>
      </c>
      <c r="I855" s="37">
        <v>746.99</v>
      </c>
      <c r="J855" s="37">
        <v>0.01</v>
      </c>
      <c r="L855" s="37">
        <v>747</v>
      </c>
      <c r="N855" s="37">
        <v>747</v>
      </c>
    </row>
    <row r="856" spans="1:14" x14ac:dyDescent="0.25">
      <c r="A856" s="1">
        <v>46056</v>
      </c>
      <c r="B856">
        <v>1</v>
      </c>
      <c r="C856" t="s">
        <v>541</v>
      </c>
      <c r="D856" t="s">
        <v>10</v>
      </c>
      <c r="E856" t="s">
        <v>201</v>
      </c>
      <c r="F856" t="s">
        <v>202</v>
      </c>
      <c r="G856" t="s">
        <v>56</v>
      </c>
      <c r="I856" s="37">
        <v>831.99</v>
      </c>
      <c r="J856" s="37">
        <v>30</v>
      </c>
      <c r="L856" s="37">
        <v>861.99</v>
      </c>
      <c r="N856" s="37">
        <v>861.99</v>
      </c>
    </row>
    <row r="857" spans="1:14" x14ac:dyDescent="0.25">
      <c r="A857" s="1">
        <v>46056</v>
      </c>
      <c r="B857">
        <v>1</v>
      </c>
      <c r="C857" t="s">
        <v>542</v>
      </c>
      <c r="D857" t="s">
        <v>336</v>
      </c>
      <c r="E857" t="s">
        <v>205</v>
      </c>
      <c r="F857" t="s">
        <v>33</v>
      </c>
      <c r="G857" t="s">
        <v>13</v>
      </c>
      <c r="I857" s="37">
        <v>851.99</v>
      </c>
      <c r="L857" s="37">
        <v>851.99</v>
      </c>
    </row>
    <row r="858" spans="1:14" x14ac:dyDescent="0.25">
      <c r="A858" s="1">
        <v>46056</v>
      </c>
      <c r="B858">
        <v>1</v>
      </c>
      <c r="C858" t="s">
        <v>541</v>
      </c>
      <c r="D858" t="s">
        <v>10</v>
      </c>
      <c r="E858" t="s">
        <v>207</v>
      </c>
      <c r="F858" t="s">
        <v>33</v>
      </c>
      <c r="G858" t="s">
        <v>13</v>
      </c>
      <c r="I858" s="37">
        <v>851.99</v>
      </c>
      <c r="K858" s="37">
        <v>121.71</v>
      </c>
      <c r="L858" s="37">
        <v>730.28</v>
      </c>
      <c r="N858" s="37">
        <v>730.28</v>
      </c>
    </row>
    <row r="859" spans="1:14" x14ac:dyDescent="0.25">
      <c r="A859" s="1">
        <v>46056</v>
      </c>
      <c r="B859">
        <v>1</v>
      </c>
      <c r="C859" t="s">
        <v>541</v>
      </c>
      <c r="D859" t="s">
        <v>10</v>
      </c>
      <c r="E859" t="s">
        <v>210</v>
      </c>
      <c r="F859" t="s">
        <v>211</v>
      </c>
      <c r="G859" t="s">
        <v>13</v>
      </c>
      <c r="I859" s="37">
        <v>851.99</v>
      </c>
      <c r="J859" s="37">
        <v>30.01</v>
      </c>
      <c r="L859" s="37">
        <v>882</v>
      </c>
      <c r="N859" s="37">
        <v>882</v>
      </c>
    </row>
    <row r="860" spans="1:14" x14ac:dyDescent="0.25">
      <c r="A860" s="1">
        <v>46056</v>
      </c>
      <c r="B860">
        <v>1</v>
      </c>
      <c r="C860" t="s">
        <v>541</v>
      </c>
      <c r="D860" t="s">
        <v>10</v>
      </c>
      <c r="E860" t="s">
        <v>303</v>
      </c>
      <c r="F860" t="s">
        <v>33</v>
      </c>
      <c r="G860" t="s">
        <v>13</v>
      </c>
      <c r="I860" s="37">
        <v>851.99</v>
      </c>
      <c r="K860" s="37">
        <v>243.42</v>
      </c>
      <c r="L860" s="37">
        <v>608.57000000000005</v>
      </c>
      <c r="N860" s="37">
        <v>608.57000000000005</v>
      </c>
    </row>
    <row r="861" spans="1:14" x14ac:dyDescent="0.25">
      <c r="A861" s="1">
        <v>46056</v>
      </c>
      <c r="B861">
        <v>1</v>
      </c>
      <c r="C861" t="s">
        <v>541</v>
      </c>
      <c r="D861" t="s">
        <v>10</v>
      </c>
      <c r="E861" t="s">
        <v>213</v>
      </c>
      <c r="F861" t="s">
        <v>214</v>
      </c>
      <c r="G861" t="s">
        <v>13</v>
      </c>
      <c r="I861" s="37">
        <v>851.99</v>
      </c>
      <c r="L861" s="37">
        <v>851.99</v>
      </c>
      <c r="N861" s="37">
        <v>851.99</v>
      </c>
    </row>
    <row r="862" spans="1:14" x14ac:dyDescent="0.25">
      <c r="A862" s="1">
        <v>46056</v>
      </c>
      <c r="B862">
        <v>1</v>
      </c>
      <c r="C862" t="s">
        <v>541</v>
      </c>
      <c r="D862" t="s">
        <v>10</v>
      </c>
      <c r="E862" t="s">
        <v>291</v>
      </c>
      <c r="F862" t="s">
        <v>41</v>
      </c>
      <c r="G862" t="s">
        <v>13</v>
      </c>
      <c r="I862" s="37">
        <v>746.99</v>
      </c>
      <c r="L862" s="37">
        <v>746.99</v>
      </c>
      <c r="N862" s="37">
        <v>746.99</v>
      </c>
    </row>
    <row r="863" spans="1:14" x14ac:dyDescent="0.25">
      <c r="A863" s="1">
        <v>46056</v>
      </c>
      <c r="B863">
        <v>1</v>
      </c>
      <c r="C863" t="s">
        <v>541</v>
      </c>
      <c r="D863" t="s">
        <v>10</v>
      </c>
      <c r="E863" t="s">
        <v>216</v>
      </c>
      <c r="F863" t="s">
        <v>217</v>
      </c>
      <c r="G863" t="s">
        <v>13</v>
      </c>
      <c r="I863" s="37">
        <v>746.99</v>
      </c>
      <c r="K863" s="37">
        <v>106.71</v>
      </c>
      <c r="L863" s="37">
        <v>640.28</v>
      </c>
      <c r="N863" s="37">
        <v>640.28</v>
      </c>
    </row>
    <row r="864" spans="1:14" x14ac:dyDescent="0.25">
      <c r="A864" s="1">
        <v>46056</v>
      </c>
      <c r="B864">
        <v>1</v>
      </c>
      <c r="C864" t="s">
        <v>541</v>
      </c>
      <c r="D864" t="s">
        <v>10</v>
      </c>
      <c r="E864" t="s">
        <v>219</v>
      </c>
      <c r="F864" t="s">
        <v>12</v>
      </c>
      <c r="G864" t="s">
        <v>13</v>
      </c>
      <c r="I864" s="37">
        <v>746.99</v>
      </c>
      <c r="L864" s="37">
        <v>746.99</v>
      </c>
      <c r="N864" s="37">
        <v>746.99</v>
      </c>
    </row>
    <row r="865" spans="1:14" x14ac:dyDescent="0.25">
      <c r="A865" s="1">
        <v>46056</v>
      </c>
      <c r="B865">
        <v>1</v>
      </c>
      <c r="C865" t="s">
        <v>541</v>
      </c>
      <c r="D865" t="s">
        <v>10</v>
      </c>
      <c r="E865" t="s">
        <v>221</v>
      </c>
      <c r="F865" t="s">
        <v>37</v>
      </c>
      <c r="G865" t="s">
        <v>70</v>
      </c>
      <c r="I865" s="37">
        <v>746.99</v>
      </c>
      <c r="L865" s="37">
        <v>746.99</v>
      </c>
    </row>
    <row r="866" spans="1:14" x14ac:dyDescent="0.25">
      <c r="A866" s="1">
        <v>46056</v>
      </c>
      <c r="B866">
        <v>1</v>
      </c>
      <c r="C866" t="s">
        <v>541</v>
      </c>
      <c r="D866" t="s">
        <v>136</v>
      </c>
      <c r="E866" t="s">
        <v>223</v>
      </c>
      <c r="F866" t="s">
        <v>41</v>
      </c>
      <c r="G866" t="s">
        <v>22</v>
      </c>
      <c r="I866" s="37">
        <v>746.99</v>
      </c>
      <c r="L866" s="37">
        <v>746.99</v>
      </c>
      <c r="N866" s="37">
        <v>100</v>
      </c>
    </row>
    <row r="867" spans="1:14" x14ac:dyDescent="0.25">
      <c r="A867" s="1">
        <v>46056</v>
      </c>
      <c r="B867">
        <v>1</v>
      </c>
      <c r="C867" t="s">
        <v>541</v>
      </c>
      <c r="D867" t="s">
        <v>10</v>
      </c>
      <c r="E867" t="s">
        <v>225</v>
      </c>
      <c r="F867" t="s">
        <v>217</v>
      </c>
      <c r="G867" t="s">
        <v>22</v>
      </c>
      <c r="I867" s="37">
        <v>746.99</v>
      </c>
      <c r="K867" s="37">
        <v>0.99</v>
      </c>
      <c r="L867" s="37">
        <v>746</v>
      </c>
      <c r="N867" s="37">
        <v>746</v>
      </c>
    </row>
    <row r="868" spans="1:14" x14ac:dyDescent="0.25">
      <c r="A868" s="1">
        <v>46056</v>
      </c>
      <c r="B868">
        <v>1</v>
      </c>
      <c r="C868" t="s">
        <v>541</v>
      </c>
      <c r="D868" t="s">
        <v>336</v>
      </c>
      <c r="E868" t="s">
        <v>315</v>
      </c>
      <c r="F868" t="s">
        <v>41</v>
      </c>
      <c r="G868" t="s">
        <v>111</v>
      </c>
      <c r="I868" s="37">
        <v>746.99</v>
      </c>
      <c r="L868" s="37">
        <v>746.99</v>
      </c>
      <c r="N868" s="37">
        <v>746.99</v>
      </c>
    </row>
    <row r="869" spans="1:14" x14ac:dyDescent="0.25">
      <c r="A869" s="1">
        <v>46056</v>
      </c>
      <c r="B869">
        <v>1</v>
      </c>
      <c r="C869" t="s">
        <v>541</v>
      </c>
      <c r="D869" t="s">
        <v>10</v>
      </c>
      <c r="E869" t="s">
        <v>305</v>
      </c>
      <c r="F869" t="s">
        <v>41</v>
      </c>
      <c r="G869" t="s">
        <v>111</v>
      </c>
      <c r="I869" s="37">
        <v>746.99</v>
      </c>
      <c r="L869" s="37">
        <v>746.99</v>
      </c>
      <c r="N869" s="37">
        <v>746.99</v>
      </c>
    </row>
    <row r="870" spans="1:14" x14ac:dyDescent="0.25">
      <c r="A870" s="1">
        <v>46056</v>
      </c>
      <c r="B870">
        <v>1</v>
      </c>
      <c r="C870" t="s">
        <v>541</v>
      </c>
      <c r="D870" t="s">
        <v>10</v>
      </c>
      <c r="E870" t="s">
        <v>227</v>
      </c>
      <c r="F870" t="s">
        <v>12</v>
      </c>
      <c r="G870" t="s">
        <v>104</v>
      </c>
      <c r="I870" s="37">
        <v>746</v>
      </c>
      <c r="L870" s="37">
        <v>746</v>
      </c>
      <c r="N870" s="37">
        <v>746</v>
      </c>
    </row>
    <row r="871" spans="1:14" x14ac:dyDescent="0.25">
      <c r="A871" s="1">
        <v>46056</v>
      </c>
      <c r="B871">
        <v>1</v>
      </c>
      <c r="C871" t="s">
        <v>541</v>
      </c>
      <c r="D871" t="s">
        <v>10</v>
      </c>
      <c r="E871" t="s">
        <v>229</v>
      </c>
      <c r="F871" t="s">
        <v>230</v>
      </c>
      <c r="G871" t="s">
        <v>22</v>
      </c>
      <c r="I871" s="37">
        <v>746.99</v>
      </c>
      <c r="L871" s="37">
        <v>746.99</v>
      </c>
      <c r="N871" s="37">
        <v>746.99</v>
      </c>
    </row>
    <row r="872" spans="1:14" x14ac:dyDescent="0.25">
      <c r="A872" s="1">
        <v>46056</v>
      </c>
      <c r="B872">
        <v>1</v>
      </c>
      <c r="C872" t="s">
        <v>541</v>
      </c>
      <c r="D872" t="s">
        <v>10</v>
      </c>
      <c r="E872" t="s">
        <v>232</v>
      </c>
      <c r="F872" t="s">
        <v>158</v>
      </c>
      <c r="G872" t="s">
        <v>22</v>
      </c>
      <c r="I872" s="37">
        <v>746.99</v>
      </c>
      <c r="J872" s="37">
        <v>180</v>
      </c>
      <c r="L872" s="37">
        <v>926.99</v>
      </c>
      <c r="N872" s="37">
        <v>926.99</v>
      </c>
    </row>
    <row r="873" spans="1:14" x14ac:dyDescent="0.25">
      <c r="A873" s="1">
        <v>46056</v>
      </c>
      <c r="B873">
        <v>1</v>
      </c>
      <c r="C873" t="s">
        <v>541</v>
      </c>
      <c r="D873" t="s">
        <v>10</v>
      </c>
      <c r="E873" t="s">
        <v>236</v>
      </c>
      <c r="F873" t="s">
        <v>158</v>
      </c>
      <c r="G873" t="s">
        <v>104</v>
      </c>
      <c r="I873" s="37">
        <v>746.99</v>
      </c>
      <c r="J873" s="37">
        <v>180</v>
      </c>
      <c r="L873" s="37">
        <v>926.99</v>
      </c>
      <c r="N873" s="37">
        <v>926.99</v>
      </c>
    </row>
    <row r="874" spans="1:14" x14ac:dyDescent="0.25">
      <c r="A874" s="1">
        <v>46056</v>
      </c>
      <c r="B874">
        <v>1</v>
      </c>
      <c r="C874" t="s">
        <v>541</v>
      </c>
      <c r="D874" t="s">
        <v>10</v>
      </c>
      <c r="E874" t="s">
        <v>238</v>
      </c>
      <c r="F874" t="s">
        <v>158</v>
      </c>
      <c r="G874" t="s">
        <v>66</v>
      </c>
      <c r="I874" s="37">
        <v>746.99</v>
      </c>
      <c r="J874" s="37">
        <v>3.01</v>
      </c>
      <c r="L874" s="37">
        <v>750</v>
      </c>
      <c r="N874" s="37">
        <v>750</v>
      </c>
    </row>
    <row r="875" spans="1:14" x14ac:dyDescent="0.25">
      <c r="A875" s="1">
        <v>46056</v>
      </c>
      <c r="B875">
        <v>1</v>
      </c>
      <c r="C875" t="s">
        <v>541</v>
      </c>
      <c r="D875" t="s">
        <v>10</v>
      </c>
      <c r="E875" t="s">
        <v>240</v>
      </c>
      <c r="F875" t="s">
        <v>158</v>
      </c>
      <c r="G875" t="s">
        <v>111</v>
      </c>
      <c r="I875" s="37">
        <v>746.99</v>
      </c>
      <c r="J875" s="37">
        <v>60</v>
      </c>
      <c r="L875" s="37">
        <v>806.99</v>
      </c>
      <c r="N875" s="37">
        <v>806.99</v>
      </c>
    </row>
    <row r="876" spans="1:14" x14ac:dyDescent="0.25">
      <c r="A876" s="1">
        <v>46056</v>
      </c>
      <c r="B876">
        <v>1</v>
      </c>
      <c r="C876" t="s">
        <v>541</v>
      </c>
      <c r="D876" t="s">
        <v>10</v>
      </c>
      <c r="E876" t="s">
        <v>242</v>
      </c>
      <c r="F876" t="s">
        <v>217</v>
      </c>
      <c r="G876" t="s">
        <v>13</v>
      </c>
      <c r="I876" s="37">
        <v>745</v>
      </c>
      <c r="L876" s="37">
        <v>745</v>
      </c>
      <c r="N876" s="37">
        <v>745</v>
      </c>
    </row>
    <row r="877" spans="1:14" x14ac:dyDescent="0.25">
      <c r="A877" s="1">
        <v>46056</v>
      </c>
      <c r="B877">
        <v>1</v>
      </c>
      <c r="C877" t="s">
        <v>541</v>
      </c>
      <c r="D877" t="s">
        <v>10</v>
      </c>
      <c r="E877" t="s">
        <v>247</v>
      </c>
      <c r="F877" t="s">
        <v>12</v>
      </c>
      <c r="G877" t="s">
        <v>104</v>
      </c>
      <c r="I877" s="37">
        <v>746.99</v>
      </c>
      <c r="K877" s="37">
        <v>212.99</v>
      </c>
      <c r="L877" s="37">
        <v>534</v>
      </c>
      <c r="N877" s="37">
        <v>534</v>
      </c>
    </row>
    <row r="878" spans="1:14" x14ac:dyDescent="0.25">
      <c r="A878" s="1">
        <v>46056</v>
      </c>
      <c r="B878">
        <v>1</v>
      </c>
      <c r="C878" t="s">
        <v>541</v>
      </c>
      <c r="D878" t="s">
        <v>336</v>
      </c>
      <c r="E878" t="s">
        <v>248</v>
      </c>
      <c r="F878" t="s">
        <v>12</v>
      </c>
      <c r="G878" t="s">
        <v>13</v>
      </c>
      <c r="I878" s="37">
        <v>746.99</v>
      </c>
      <c r="L878" s="37">
        <v>746.99</v>
      </c>
    </row>
    <row r="879" spans="1:14" x14ac:dyDescent="0.25">
      <c r="A879" s="1">
        <v>46056</v>
      </c>
      <c r="B879">
        <v>1</v>
      </c>
      <c r="C879" t="s">
        <v>541</v>
      </c>
      <c r="D879" t="s">
        <v>10</v>
      </c>
      <c r="E879" t="s">
        <v>250</v>
      </c>
      <c r="F879" t="s">
        <v>12</v>
      </c>
      <c r="G879" t="s">
        <v>13</v>
      </c>
      <c r="I879" s="37">
        <v>746.99</v>
      </c>
      <c r="J879" s="37">
        <v>180.01</v>
      </c>
      <c r="L879" s="37">
        <v>927</v>
      </c>
      <c r="N879" s="37">
        <v>927</v>
      </c>
    </row>
    <row r="880" spans="1:14" x14ac:dyDescent="0.25">
      <c r="A880" s="1">
        <v>46056</v>
      </c>
      <c r="B880">
        <v>1</v>
      </c>
      <c r="C880" t="s">
        <v>541</v>
      </c>
      <c r="D880" t="s">
        <v>10</v>
      </c>
      <c r="E880" t="s">
        <v>252</v>
      </c>
      <c r="F880" t="s">
        <v>158</v>
      </c>
      <c r="G880" t="s">
        <v>22</v>
      </c>
      <c r="I880" s="37">
        <v>746.99</v>
      </c>
      <c r="L880" s="37">
        <v>746.99</v>
      </c>
      <c r="N880" s="37">
        <v>746.99</v>
      </c>
    </row>
    <row r="881" spans="1:14" x14ac:dyDescent="0.25">
      <c r="A881" s="1">
        <v>46056</v>
      </c>
      <c r="B881">
        <v>1</v>
      </c>
      <c r="C881" t="s">
        <v>541</v>
      </c>
      <c r="D881" t="s">
        <v>10</v>
      </c>
      <c r="E881" t="s">
        <v>254</v>
      </c>
      <c r="F881" t="s">
        <v>255</v>
      </c>
      <c r="G881" t="s">
        <v>66</v>
      </c>
      <c r="I881" s="37">
        <v>851.99</v>
      </c>
      <c r="K881" s="37">
        <v>1.99</v>
      </c>
      <c r="L881" s="37">
        <v>850</v>
      </c>
      <c r="N881" s="37">
        <v>850</v>
      </c>
    </row>
    <row r="882" spans="1:14" x14ac:dyDescent="0.25">
      <c r="A882" s="1">
        <v>46056</v>
      </c>
      <c r="B882">
        <v>1</v>
      </c>
      <c r="C882" t="s">
        <v>541</v>
      </c>
      <c r="D882" t="s">
        <v>10</v>
      </c>
      <c r="E882" t="s">
        <v>329</v>
      </c>
      <c r="F882" t="s">
        <v>158</v>
      </c>
      <c r="G882" t="s">
        <v>104</v>
      </c>
      <c r="I882" s="37">
        <v>746.99</v>
      </c>
      <c r="J882" s="37">
        <v>0.01</v>
      </c>
      <c r="L882" s="37">
        <v>747</v>
      </c>
      <c r="N882" s="37">
        <v>747</v>
      </c>
    </row>
    <row r="883" spans="1:14" x14ac:dyDescent="0.25">
      <c r="A883" s="1">
        <v>46056</v>
      </c>
      <c r="B883">
        <v>1</v>
      </c>
      <c r="C883" t="s">
        <v>542</v>
      </c>
      <c r="D883" t="s">
        <v>99</v>
      </c>
      <c r="E883" t="s">
        <v>257</v>
      </c>
      <c r="F883" t="s">
        <v>158</v>
      </c>
      <c r="G883" t="s">
        <v>111</v>
      </c>
      <c r="I883" s="37">
        <v>746.99</v>
      </c>
      <c r="L883" s="37">
        <v>746.99</v>
      </c>
    </row>
    <row r="884" spans="1:14" x14ac:dyDescent="0.25">
      <c r="A884" s="1">
        <v>46056</v>
      </c>
      <c r="B884">
        <v>1</v>
      </c>
      <c r="C884" t="s">
        <v>541</v>
      </c>
      <c r="D884" t="s">
        <v>10</v>
      </c>
      <c r="E884" t="s">
        <v>259</v>
      </c>
      <c r="F884" t="s">
        <v>260</v>
      </c>
      <c r="G884" t="s">
        <v>261</v>
      </c>
      <c r="I884" s="37">
        <v>881.99</v>
      </c>
      <c r="J884" s="37">
        <v>29.01</v>
      </c>
      <c r="L884" s="37">
        <v>911</v>
      </c>
      <c r="N884" s="37">
        <v>911</v>
      </c>
    </row>
    <row r="885" spans="1:14" x14ac:dyDescent="0.25">
      <c r="A885" s="1">
        <v>46056</v>
      </c>
      <c r="B885">
        <v>1</v>
      </c>
      <c r="C885" t="s">
        <v>541</v>
      </c>
      <c r="D885" t="s">
        <v>10</v>
      </c>
      <c r="E885" t="s">
        <v>263</v>
      </c>
      <c r="F885" t="s">
        <v>264</v>
      </c>
      <c r="G885" t="s">
        <v>66</v>
      </c>
      <c r="I885" s="37">
        <v>746.99</v>
      </c>
      <c r="J885" s="37">
        <v>30</v>
      </c>
      <c r="L885" s="37">
        <v>776.99</v>
      </c>
      <c r="N885" s="37">
        <v>776.99</v>
      </c>
    </row>
    <row r="886" spans="1:14" x14ac:dyDescent="0.25">
      <c r="A886" s="1">
        <v>46056</v>
      </c>
      <c r="B886">
        <v>1</v>
      </c>
      <c r="C886" t="s">
        <v>541</v>
      </c>
      <c r="D886" t="s">
        <v>10</v>
      </c>
      <c r="E886" t="s">
        <v>266</v>
      </c>
      <c r="F886" t="s">
        <v>55</v>
      </c>
      <c r="G886" t="s">
        <v>13</v>
      </c>
      <c r="I886" s="37">
        <v>746.99</v>
      </c>
      <c r="J886" s="37">
        <v>28.01</v>
      </c>
      <c r="L886" s="37">
        <v>775</v>
      </c>
      <c r="N886" s="37">
        <v>775</v>
      </c>
    </row>
    <row r="887" spans="1:14" x14ac:dyDescent="0.25">
      <c r="A887" s="1">
        <v>46056</v>
      </c>
      <c r="B887">
        <v>1</v>
      </c>
      <c r="C887" t="s">
        <v>541</v>
      </c>
      <c r="D887" t="s">
        <v>336</v>
      </c>
      <c r="E887" t="s">
        <v>268</v>
      </c>
      <c r="F887" t="s">
        <v>52</v>
      </c>
      <c r="G887" t="s">
        <v>77</v>
      </c>
      <c r="I887" s="37">
        <v>1251.99</v>
      </c>
      <c r="J887" s="37">
        <v>28.01</v>
      </c>
      <c r="L887" s="37">
        <v>1280</v>
      </c>
      <c r="N887" s="37">
        <v>1280</v>
      </c>
    </row>
    <row r="888" spans="1:14" x14ac:dyDescent="0.25">
      <c r="A888" s="1">
        <v>46056</v>
      </c>
      <c r="B888">
        <v>1</v>
      </c>
      <c r="C888" t="s">
        <v>541</v>
      </c>
      <c r="D888" t="s">
        <v>10</v>
      </c>
      <c r="E888" t="s">
        <v>270</v>
      </c>
      <c r="F888" t="s">
        <v>12</v>
      </c>
      <c r="G888" t="s">
        <v>13</v>
      </c>
      <c r="I888" s="37">
        <v>746.99</v>
      </c>
      <c r="J888" s="37">
        <v>30</v>
      </c>
      <c r="L888" s="37">
        <v>776.99</v>
      </c>
      <c r="N888" s="37">
        <v>776.99</v>
      </c>
    </row>
    <row r="889" spans="1:14" x14ac:dyDescent="0.25">
      <c r="A889" s="1">
        <v>46056</v>
      </c>
      <c r="B889">
        <v>1</v>
      </c>
      <c r="C889" t="s">
        <v>541</v>
      </c>
      <c r="D889" t="s">
        <v>10</v>
      </c>
      <c r="E889" t="s">
        <v>272</v>
      </c>
      <c r="F889" t="s">
        <v>37</v>
      </c>
      <c r="G889" t="s">
        <v>38</v>
      </c>
      <c r="I889" s="37">
        <v>746.99</v>
      </c>
      <c r="J889" s="37">
        <v>30</v>
      </c>
      <c r="L889" s="37">
        <v>776.99</v>
      </c>
      <c r="N889" s="37">
        <v>776.99</v>
      </c>
    </row>
    <row r="890" spans="1:14" x14ac:dyDescent="0.25">
      <c r="A890" s="1">
        <v>46056</v>
      </c>
      <c r="B890">
        <v>1</v>
      </c>
      <c r="C890" t="s">
        <v>541</v>
      </c>
      <c r="D890" t="s">
        <v>10</v>
      </c>
      <c r="E890" t="s">
        <v>173</v>
      </c>
      <c r="F890" t="s">
        <v>52</v>
      </c>
      <c r="G890" t="s">
        <v>77</v>
      </c>
      <c r="I890" s="37">
        <v>1251.99</v>
      </c>
      <c r="K890" s="37">
        <v>1.99</v>
      </c>
      <c r="L890" s="37">
        <v>1250</v>
      </c>
      <c r="N890" s="37">
        <v>1250</v>
      </c>
    </row>
    <row r="891" spans="1:14" x14ac:dyDescent="0.25">
      <c r="A891" s="1">
        <v>46056</v>
      </c>
      <c r="B891">
        <v>1</v>
      </c>
      <c r="C891" t="s">
        <v>541</v>
      </c>
      <c r="D891" t="s">
        <v>10</v>
      </c>
      <c r="E891" t="s">
        <v>274</v>
      </c>
      <c r="F891" t="s">
        <v>52</v>
      </c>
      <c r="G891" t="s">
        <v>77</v>
      </c>
      <c r="I891" s="37">
        <v>1251.99</v>
      </c>
      <c r="J891" s="37">
        <v>30.01</v>
      </c>
      <c r="L891" s="37">
        <v>1282</v>
      </c>
      <c r="N891" s="37">
        <v>1282</v>
      </c>
    </row>
    <row r="892" spans="1:14" x14ac:dyDescent="0.25">
      <c r="A892" s="1">
        <v>46056</v>
      </c>
      <c r="B892">
        <v>1</v>
      </c>
      <c r="C892" t="s">
        <v>541</v>
      </c>
      <c r="D892" t="s">
        <v>10</v>
      </c>
      <c r="E892" t="s">
        <v>276</v>
      </c>
      <c r="F892" t="s">
        <v>277</v>
      </c>
      <c r="G892" t="s">
        <v>13</v>
      </c>
      <c r="I892" s="37">
        <v>746.99</v>
      </c>
      <c r="J892" s="37">
        <v>3.01</v>
      </c>
      <c r="L892" s="37">
        <v>750</v>
      </c>
      <c r="N892" s="37">
        <v>750</v>
      </c>
    </row>
    <row r="893" spans="1:14" x14ac:dyDescent="0.25">
      <c r="A893" s="1">
        <v>46056</v>
      </c>
      <c r="B893">
        <v>1</v>
      </c>
      <c r="C893" t="s">
        <v>541</v>
      </c>
      <c r="D893" t="s">
        <v>10</v>
      </c>
      <c r="E893" t="s">
        <v>279</v>
      </c>
      <c r="F893" t="s">
        <v>55</v>
      </c>
      <c r="G893" t="s">
        <v>56</v>
      </c>
      <c r="I893" s="37">
        <v>746.99</v>
      </c>
      <c r="K893" s="37">
        <v>0.09</v>
      </c>
      <c r="L893" s="37">
        <v>746.9</v>
      </c>
      <c r="N893" s="37">
        <v>746.9</v>
      </c>
    </row>
    <row r="894" spans="1:14" x14ac:dyDescent="0.25">
      <c r="A894" s="1">
        <v>46056</v>
      </c>
      <c r="B894">
        <v>1</v>
      </c>
      <c r="C894" t="s">
        <v>541</v>
      </c>
      <c r="D894" t="s">
        <v>10</v>
      </c>
      <c r="E894" t="s">
        <v>281</v>
      </c>
      <c r="F894" t="s">
        <v>55</v>
      </c>
      <c r="G894" t="s">
        <v>56</v>
      </c>
      <c r="I894" s="37">
        <v>746.99</v>
      </c>
      <c r="J894" s="37">
        <v>30</v>
      </c>
      <c r="L894" s="37">
        <v>776.99</v>
      </c>
      <c r="N894" s="37">
        <v>776.99</v>
      </c>
    </row>
    <row r="895" spans="1:14" x14ac:dyDescent="0.25">
      <c r="A895" s="1">
        <v>46056</v>
      </c>
      <c r="B895">
        <v>1</v>
      </c>
      <c r="C895" t="s">
        <v>541</v>
      </c>
      <c r="D895" t="s">
        <v>10</v>
      </c>
      <c r="E895" t="s">
        <v>310</v>
      </c>
      <c r="F895" t="s">
        <v>28</v>
      </c>
      <c r="G895" t="s">
        <v>13</v>
      </c>
      <c r="I895" s="37">
        <v>931.99</v>
      </c>
      <c r="L895" s="37">
        <v>931.99</v>
      </c>
      <c r="N895" s="37">
        <v>931.99</v>
      </c>
    </row>
    <row r="896" spans="1:14" x14ac:dyDescent="0.25">
      <c r="A896" s="1">
        <v>46056</v>
      </c>
      <c r="B896">
        <v>1</v>
      </c>
      <c r="C896" t="s">
        <v>541</v>
      </c>
      <c r="D896" t="s">
        <v>10</v>
      </c>
      <c r="E896" t="s">
        <v>283</v>
      </c>
      <c r="F896" t="s">
        <v>76</v>
      </c>
      <c r="G896" t="s">
        <v>77</v>
      </c>
      <c r="I896" s="37">
        <v>1451.99</v>
      </c>
      <c r="L896" s="37">
        <v>1451.99</v>
      </c>
      <c r="N896" s="37">
        <v>1451.99</v>
      </c>
    </row>
    <row r="897" spans="1:14" x14ac:dyDescent="0.25">
      <c r="A897" s="1">
        <v>46056</v>
      </c>
      <c r="B897">
        <v>1</v>
      </c>
      <c r="C897" t="s">
        <v>541</v>
      </c>
      <c r="D897" t="s">
        <v>10</v>
      </c>
      <c r="E897" t="s">
        <v>285</v>
      </c>
      <c r="F897" t="s">
        <v>76</v>
      </c>
      <c r="G897" t="s">
        <v>77</v>
      </c>
      <c r="I897" s="37">
        <v>1451.99</v>
      </c>
      <c r="J897" s="37">
        <v>60</v>
      </c>
      <c r="L897" s="37">
        <v>1511.99</v>
      </c>
      <c r="N897" s="37">
        <v>1511.99</v>
      </c>
    </row>
    <row r="898" spans="1:14" x14ac:dyDescent="0.25">
      <c r="A898" s="1">
        <v>46056</v>
      </c>
      <c r="B898">
        <v>1</v>
      </c>
      <c r="C898" t="s">
        <v>542</v>
      </c>
      <c r="D898" t="s">
        <v>99</v>
      </c>
      <c r="E898" t="s">
        <v>100</v>
      </c>
      <c r="F898" t="s">
        <v>101</v>
      </c>
      <c r="G898" t="s">
        <v>13</v>
      </c>
      <c r="I898" s="37">
        <v>1351.99</v>
      </c>
      <c r="L898" s="37">
        <v>1351.99</v>
      </c>
    </row>
    <row r="899" spans="1:14" x14ac:dyDescent="0.25">
      <c r="A899" s="1">
        <v>46056</v>
      </c>
      <c r="B899">
        <v>1</v>
      </c>
      <c r="C899" t="s">
        <v>541</v>
      </c>
      <c r="D899" t="s">
        <v>10</v>
      </c>
      <c r="E899" t="s">
        <v>162</v>
      </c>
      <c r="F899" t="s">
        <v>158</v>
      </c>
      <c r="G899" t="s">
        <v>104</v>
      </c>
      <c r="I899" s="37">
        <v>746.99</v>
      </c>
      <c r="L899" s="37">
        <v>791.99</v>
      </c>
      <c r="N899" s="37">
        <v>746.99</v>
      </c>
    </row>
    <row r="900" spans="1:14" x14ac:dyDescent="0.25">
      <c r="A900" s="1">
        <v>46056</v>
      </c>
      <c r="B900">
        <v>1</v>
      </c>
      <c r="C900" t="s">
        <v>541</v>
      </c>
      <c r="D900" t="s">
        <v>10</v>
      </c>
      <c r="E900" t="s">
        <v>171</v>
      </c>
      <c r="F900" t="s">
        <v>52</v>
      </c>
      <c r="G900" t="s">
        <v>13</v>
      </c>
      <c r="I900" s="37">
        <v>1251.99</v>
      </c>
      <c r="L900" s="37">
        <v>1296.99</v>
      </c>
      <c r="N900" s="37">
        <v>1251.99</v>
      </c>
    </row>
    <row r="901" spans="1:14" x14ac:dyDescent="0.25">
      <c r="A901" s="1">
        <v>46056</v>
      </c>
      <c r="B901">
        <v>1</v>
      </c>
      <c r="C901" t="s">
        <v>542</v>
      </c>
      <c r="D901" t="s">
        <v>89</v>
      </c>
      <c r="E901" t="s">
        <v>175</v>
      </c>
      <c r="F901" t="s">
        <v>52</v>
      </c>
      <c r="G901" t="s">
        <v>77</v>
      </c>
      <c r="I901" s="37">
        <v>1251.99</v>
      </c>
      <c r="L901" s="37">
        <v>1251.99</v>
      </c>
    </row>
    <row r="902" spans="1:14" x14ac:dyDescent="0.25">
      <c r="A902" s="1">
        <v>46056</v>
      </c>
      <c r="B902">
        <v>1</v>
      </c>
      <c r="C902" t="s">
        <v>541</v>
      </c>
      <c r="D902" t="s">
        <v>10</v>
      </c>
      <c r="E902" t="s">
        <v>180</v>
      </c>
      <c r="F902" t="s">
        <v>52</v>
      </c>
      <c r="G902" t="s">
        <v>38</v>
      </c>
      <c r="I902" s="37">
        <v>1251.99</v>
      </c>
      <c r="L902" s="37">
        <v>1296.99</v>
      </c>
      <c r="M902" s="37">
        <v>473.58</v>
      </c>
      <c r="N902" s="37">
        <v>1251.99</v>
      </c>
    </row>
    <row r="903" spans="1:14" x14ac:dyDescent="0.25">
      <c r="A903" s="1">
        <v>46056</v>
      </c>
      <c r="B903">
        <v>1</v>
      </c>
      <c r="C903" t="s">
        <v>542</v>
      </c>
      <c r="D903" t="s">
        <v>99</v>
      </c>
      <c r="E903" t="s">
        <v>115</v>
      </c>
      <c r="F903" t="s">
        <v>116</v>
      </c>
      <c r="G903" t="s">
        <v>13</v>
      </c>
      <c r="I903" s="37">
        <v>746.99</v>
      </c>
      <c r="L903" s="37">
        <v>746.99</v>
      </c>
    </row>
    <row r="904" spans="1:14" x14ac:dyDescent="0.25">
      <c r="A904" s="1">
        <v>46056</v>
      </c>
      <c r="B904">
        <v>1</v>
      </c>
      <c r="C904" t="s">
        <v>542</v>
      </c>
      <c r="D904" t="s">
        <v>99</v>
      </c>
      <c r="E904" t="s">
        <v>204</v>
      </c>
      <c r="F904" t="s">
        <v>12</v>
      </c>
      <c r="G904" t="s">
        <v>13</v>
      </c>
      <c r="I904" s="37">
        <v>746.99</v>
      </c>
      <c r="L904" s="37">
        <v>746.99</v>
      </c>
    </row>
    <row r="905" spans="1:14" x14ac:dyDescent="0.25">
      <c r="A905" s="1">
        <v>46056</v>
      </c>
      <c r="B905">
        <v>1</v>
      </c>
      <c r="C905" t="s">
        <v>542</v>
      </c>
      <c r="D905" t="s">
        <v>48</v>
      </c>
      <c r="E905" t="s">
        <v>209</v>
      </c>
      <c r="F905" t="s">
        <v>33</v>
      </c>
      <c r="G905" t="s">
        <v>13</v>
      </c>
      <c r="I905" s="37">
        <v>851.99</v>
      </c>
      <c r="L905" s="37">
        <v>851.99</v>
      </c>
    </row>
    <row r="906" spans="1:14" x14ac:dyDescent="0.25">
      <c r="A906" s="1">
        <v>46056</v>
      </c>
      <c r="B906">
        <v>1</v>
      </c>
      <c r="C906" t="s">
        <v>542</v>
      </c>
      <c r="D906" t="s">
        <v>234</v>
      </c>
      <c r="E906" t="s">
        <v>235</v>
      </c>
      <c r="F906" t="s">
        <v>158</v>
      </c>
      <c r="G906" t="s">
        <v>104</v>
      </c>
      <c r="I906" s="37">
        <v>746.99</v>
      </c>
      <c r="L906" s="37">
        <v>746.99</v>
      </c>
    </row>
    <row r="907" spans="1:14" x14ac:dyDescent="0.25">
      <c r="A907" s="1">
        <v>46056</v>
      </c>
      <c r="B907">
        <v>1</v>
      </c>
      <c r="C907" t="s">
        <v>542</v>
      </c>
      <c r="D907" t="s">
        <v>99</v>
      </c>
      <c r="E907" t="s">
        <v>287</v>
      </c>
      <c r="F907" t="s">
        <v>52</v>
      </c>
      <c r="G907" t="s">
        <v>77</v>
      </c>
      <c r="I907" s="37">
        <v>1251.99</v>
      </c>
      <c r="L907" s="37">
        <v>1251.99</v>
      </c>
    </row>
    <row r="908" spans="1:14" x14ac:dyDescent="0.25">
      <c r="A908" s="1">
        <v>46056</v>
      </c>
      <c r="B908">
        <v>1</v>
      </c>
      <c r="C908" t="s">
        <v>541</v>
      </c>
      <c r="D908" t="s">
        <v>10</v>
      </c>
      <c r="E908" t="s">
        <v>288</v>
      </c>
      <c r="F908" t="s">
        <v>55</v>
      </c>
      <c r="G908" t="s">
        <v>104</v>
      </c>
      <c r="I908" s="37">
        <v>746.99</v>
      </c>
      <c r="L908" s="37">
        <v>791.99</v>
      </c>
      <c r="N908" s="37">
        <v>746.99</v>
      </c>
    </row>
    <row r="909" spans="1:14" x14ac:dyDescent="0.25">
      <c r="A909" s="1">
        <v>46056</v>
      </c>
      <c r="B909">
        <v>1</v>
      </c>
      <c r="C909" t="s">
        <v>541</v>
      </c>
      <c r="D909" t="s">
        <v>10</v>
      </c>
      <c r="E909" t="s">
        <v>293</v>
      </c>
      <c r="F909" t="s">
        <v>294</v>
      </c>
      <c r="G909" t="s">
        <v>13</v>
      </c>
      <c r="I909" s="37">
        <v>746.99</v>
      </c>
      <c r="L909" s="37">
        <v>946.99</v>
      </c>
      <c r="N909" s="37">
        <v>746.99</v>
      </c>
    </row>
    <row r="910" spans="1:14" x14ac:dyDescent="0.25">
      <c r="A910" s="1">
        <v>46056</v>
      </c>
      <c r="B910">
        <v>1</v>
      </c>
      <c r="C910" t="s">
        <v>541</v>
      </c>
      <c r="D910" t="s">
        <v>10</v>
      </c>
      <c r="E910" t="s">
        <v>295</v>
      </c>
      <c r="F910" t="s">
        <v>33</v>
      </c>
      <c r="G910" t="s">
        <v>13</v>
      </c>
      <c r="I910" s="37">
        <v>851.99</v>
      </c>
      <c r="L910" s="37">
        <v>1200</v>
      </c>
      <c r="N910" s="37">
        <v>851.99</v>
      </c>
    </row>
    <row r="911" spans="1:14" x14ac:dyDescent="0.25">
      <c r="A911" s="1">
        <v>46056</v>
      </c>
      <c r="B911">
        <v>1</v>
      </c>
      <c r="C911" t="s">
        <v>542</v>
      </c>
      <c r="D911" t="s">
        <v>99</v>
      </c>
      <c r="E911" t="s">
        <v>296</v>
      </c>
      <c r="F911" t="s">
        <v>37</v>
      </c>
      <c r="G911" t="s">
        <v>38</v>
      </c>
      <c r="I911" s="37">
        <v>745</v>
      </c>
      <c r="L911" s="37">
        <v>745</v>
      </c>
    </row>
    <row r="912" spans="1:14" x14ac:dyDescent="0.25">
      <c r="A912" s="1">
        <v>46056</v>
      </c>
      <c r="B912">
        <v>1</v>
      </c>
      <c r="C912" t="s">
        <v>542</v>
      </c>
      <c r="D912" t="s">
        <v>99</v>
      </c>
      <c r="E912" t="s">
        <v>297</v>
      </c>
      <c r="F912" t="s">
        <v>298</v>
      </c>
      <c r="G912" t="s">
        <v>299</v>
      </c>
      <c r="I912" s="37">
        <v>746.99</v>
      </c>
      <c r="L912" s="37">
        <v>746.99</v>
      </c>
    </row>
    <row r="913" spans="1:14" x14ac:dyDescent="0.25">
      <c r="A913" s="1">
        <v>46056</v>
      </c>
      <c r="B913">
        <v>1</v>
      </c>
      <c r="C913" t="s">
        <v>541</v>
      </c>
      <c r="D913" t="s">
        <v>10</v>
      </c>
      <c r="E913" t="s">
        <v>300</v>
      </c>
      <c r="F913" t="s">
        <v>301</v>
      </c>
      <c r="G913" t="s">
        <v>104</v>
      </c>
      <c r="I913" s="37">
        <v>746.99</v>
      </c>
      <c r="L913" s="37">
        <v>791.99</v>
      </c>
      <c r="N913" s="37">
        <v>746.99</v>
      </c>
    </row>
    <row r="914" spans="1:14" x14ac:dyDescent="0.25">
      <c r="A914" s="1">
        <v>46056</v>
      </c>
      <c r="B914">
        <v>1</v>
      </c>
      <c r="C914" t="s">
        <v>541</v>
      </c>
      <c r="D914" t="s">
        <v>10</v>
      </c>
      <c r="E914" t="s">
        <v>312</v>
      </c>
      <c r="F914" t="s">
        <v>158</v>
      </c>
      <c r="G914" t="s">
        <v>104</v>
      </c>
      <c r="I914" s="37">
        <v>746.99</v>
      </c>
      <c r="L914" s="37">
        <v>791.99</v>
      </c>
      <c r="N914" s="37">
        <v>746.99</v>
      </c>
    </row>
    <row r="915" spans="1:14" x14ac:dyDescent="0.25">
      <c r="A915" s="1">
        <v>46056</v>
      </c>
      <c r="B915">
        <v>1</v>
      </c>
      <c r="C915" t="s">
        <v>542</v>
      </c>
      <c r="D915" t="s">
        <v>99</v>
      </c>
      <c r="E915" t="s">
        <v>313</v>
      </c>
      <c r="F915" t="s">
        <v>52</v>
      </c>
      <c r="G915" t="s">
        <v>314</v>
      </c>
      <c r="I915" s="37">
        <v>1251.99</v>
      </c>
      <c r="L915" s="37">
        <v>1251.99</v>
      </c>
    </row>
    <row r="916" spans="1:14" x14ac:dyDescent="0.25">
      <c r="A916" s="1">
        <v>46056</v>
      </c>
      <c r="B916">
        <v>1</v>
      </c>
      <c r="C916" t="s">
        <v>542</v>
      </c>
      <c r="D916" t="s">
        <v>99</v>
      </c>
      <c r="E916" t="s">
        <v>317</v>
      </c>
      <c r="F916" t="s">
        <v>101</v>
      </c>
      <c r="G916" t="s">
        <v>13</v>
      </c>
      <c r="I916" s="37">
        <v>1351.99</v>
      </c>
      <c r="L916" s="37">
        <v>1351.99</v>
      </c>
    </row>
    <row r="917" spans="1:14" x14ac:dyDescent="0.25">
      <c r="A917" s="1">
        <v>46056</v>
      </c>
      <c r="B917">
        <v>1</v>
      </c>
      <c r="C917" t="s">
        <v>542</v>
      </c>
      <c r="D917" t="s">
        <v>99</v>
      </c>
      <c r="E917" t="s">
        <v>318</v>
      </c>
      <c r="F917" t="s">
        <v>12</v>
      </c>
      <c r="G917" t="s">
        <v>13</v>
      </c>
      <c r="I917" s="37">
        <v>746.99</v>
      </c>
      <c r="L917" s="37">
        <v>746.99</v>
      </c>
    </row>
    <row r="918" spans="1:14" x14ac:dyDescent="0.25">
      <c r="A918" s="1">
        <v>46056</v>
      </c>
      <c r="B918">
        <v>1</v>
      </c>
      <c r="C918" t="s">
        <v>542</v>
      </c>
      <c r="D918" t="s">
        <v>99</v>
      </c>
      <c r="E918" t="s">
        <v>319</v>
      </c>
      <c r="F918" t="s">
        <v>158</v>
      </c>
      <c r="G918" t="s">
        <v>13</v>
      </c>
      <c r="I918" s="37">
        <v>746.99</v>
      </c>
      <c r="L918" s="37">
        <v>746.99</v>
      </c>
    </row>
    <row r="919" spans="1:14" x14ac:dyDescent="0.25">
      <c r="A919" s="1">
        <v>46056</v>
      </c>
      <c r="B919">
        <v>1</v>
      </c>
      <c r="C919" t="s">
        <v>542</v>
      </c>
      <c r="D919" t="s">
        <v>99</v>
      </c>
      <c r="E919" t="s">
        <v>320</v>
      </c>
      <c r="F919" t="s">
        <v>55</v>
      </c>
      <c r="G919" t="s">
        <v>13</v>
      </c>
      <c r="I919" s="37">
        <v>746.99</v>
      </c>
      <c r="L919" s="37">
        <v>746.99</v>
      </c>
    </row>
    <row r="920" spans="1:14" x14ac:dyDescent="0.25">
      <c r="A920" s="1">
        <v>46056</v>
      </c>
      <c r="B920">
        <v>1</v>
      </c>
      <c r="C920" t="s">
        <v>542</v>
      </c>
      <c r="D920" t="s">
        <v>99</v>
      </c>
      <c r="E920" t="s">
        <v>321</v>
      </c>
      <c r="F920" t="s">
        <v>158</v>
      </c>
      <c r="G920" t="s">
        <v>13</v>
      </c>
      <c r="I920" s="37">
        <v>746.99</v>
      </c>
      <c r="L920" s="37">
        <v>746.99</v>
      </c>
    </row>
    <row r="921" spans="1:14" x14ac:dyDescent="0.25">
      <c r="A921" s="1">
        <v>46056</v>
      </c>
      <c r="B921">
        <v>1</v>
      </c>
      <c r="C921" t="s">
        <v>542</v>
      </c>
      <c r="D921" t="s">
        <v>99</v>
      </c>
      <c r="E921" t="s">
        <v>322</v>
      </c>
      <c r="F921" t="s">
        <v>158</v>
      </c>
      <c r="G921" t="s">
        <v>13</v>
      </c>
      <c r="I921" s="37">
        <v>746.99</v>
      </c>
      <c r="L921" s="37">
        <v>746.99</v>
      </c>
    </row>
    <row r="922" spans="1:14" x14ac:dyDescent="0.25">
      <c r="A922" s="1">
        <v>46056</v>
      </c>
      <c r="B922">
        <v>1</v>
      </c>
      <c r="C922" t="s">
        <v>542</v>
      </c>
      <c r="D922" t="s">
        <v>99</v>
      </c>
      <c r="E922" t="s">
        <v>323</v>
      </c>
      <c r="F922" t="s">
        <v>158</v>
      </c>
      <c r="G922" t="s">
        <v>13</v>
      </c>
      <c r="I922" s="37">
        <v>746.99</v>
      </c>
      <c r="L922" s="37">
        <v>746.99</v>
      </c>
    </row>
    <row r="923" spans="1:14" x14ac:dyDescent="0.25">
      <c r="A923" s="1">
        <v>46056</v>
      </c>
      <c r="B923">
        <v>1</v>
      </c>
      <c r="C923" t="s">
        <v>542</v>
      </c>
      <c r="D923" t="s">
        <v>99</v>
      </c>
      <c r="E923" t="s">
        <v>324</v>
      </c>
      <c r="F923" t="s">
        <v>158</v>
      </c>
      <c r="G923" t="s">
        <v>13</v>
      </c>
      <c r="I923" s="37">
        <v>746</v>
      </c>
      <c r="L923" s="37">
        <v>746</v>
      </c>
    </row>
    <row r="924" spans="1:14" x14ac:dyDescent="0.25">
      <c r="A924" s="1">
        <v>46056</v>
      </c>
      <c r="B924">
        <v>1</v>
      </c>
      <c r="C924" t="s">
        <v>542</v>
      </c>
      <c r="D924" t="s">
        <v>99</v>
      </c>
      <c r="E924" t="s">
        <v>325</v>
      </c>
      <c r="F924" t="s">
        <v>158</v>
      </c>
      <c r="G924" t="s">
        <v>13</v>
      </c>
      <c r="I924" s="37">
        <v>746.99</v>
      </c>
      <c r="L924" s="37">
        <v>746.99</v>
      </c>
    </row>
    <row r="925" spans="1:14" x14ac:dyDescent="0.25">
      <c r="A925" s="1">
        <v>46056</v>
      </c>
      <c r="B925">
        <v>1</v>
      </c>
      <c r="C925" t="s">
        <v>542</v>
      </c>
      <c r="D925" t="s">
        <v>99</v>
      </c>
      <c r="E925" t="s">
        <v>326</v>
      </c>
      <c r="F925" t="s">
        <v>52</v>
      </c>
      <c r="G925" t="s">
        <v>13</v>
      </c>
      <c r="I925" s="37">
        <v>1251.99</v>
      </c>
      <c r="L925" s="37">
        <v>1251.99</v>
      </c>
    </row>
    <row r="926" spans="1:14" x14ac:dyDescent="0.25">
      <c r="A926" s="1">
        <v>46056</v>
      </c>
      <c r="B926">
        <v>1</v>
      </c>
      <c r="C926" t="s">
        <v>541</v>
      </c>
      <c r="D926" t="s">
        <v>10</v>
      </c>
      <c r="E926" t="s">
        <v>327</v>
      </c>
      <c r="F926" t="s">
        <v>158</v>
      </c>
      <c r="G926" t="s">
        <v>22</v>
      </c>
      <c r="I926" s="37">
        <v>746.99</v>
      </c>
      <c r="L926" s="37">
        <v>791.99</v>
      </c>
      <c r="N926" s="37">
        <v>746.99</v>
      </c>
    </row>
    <row r="927" spans="1:14" x14ac:dyDescent="0.25">
      <c r="A927" s="1">
        <v>46056</v>
      </c>
      <c r="B927">
        <v>1</v>
      </c>
      <c r="C927" t="s">
        <v>541</v>
      </c>
      <c r="D927" t="s">
        <v>10</v>
      </c>
      <c r="E927" t="s">
        <v>328</v>
      </c>
      <c r="F927" t="s">
        <v>55</v>
      </c>
      <c r="G927" t="s">
        <v>13</v>
      </c>
      <c r="I927" s="37">
        <v>746.99</v>
      </c>
      <c r="K927" s="37">
        <v>168.44</v>
      </c>
      <c r="L927" s="37">
        <v>578.54999999999995</v>
      </c>
      <c r="N927" s="37">
        <v>578.54999999999995</v>
      </c>
    </row>
    <row r="928" spans="1:14" x14ac:dyDescent="0.25">
      <c r="A928" s="1">
        <v>46056</v>
      </c>
      <c r="B928">
        <v>1</v>
      </c>
      <c r="C928" t="s">
        <v>542</v>
      </c>
      <c r="D928" t="s">
        <v>99</v>
      </c>
      <c r="E928" t="s">
        <v>332</v>
      </c>
      <c r="F928" t="s">
        <v>52</v>
      </c>
      <c r="G928" t="s">
        <v>77</v>
      </c>
      <c r="I928" s="37">
        <v>1251.99</v>
      </c>
      <c r="L928" s="37">
        <v>1251.99</v>
      </c>
    </row>
    <row r="929" spans="1:14" x14ac:dyDescent="0.25">
      <c r="A929" s="1">
        <v>46056</v>
      </c>
      <c r="B929">
        <v>1</v>
      </c>
      <c r="C929" t="s">
        <v>542</v>
      </c>
      <c r="D929" t="s">
        <v>99</v>
      </c>
      <c r="E929" t="s">
        <v>333</v>
      </c>
      <c r="F929" t="s">
        <v>158</v>
      </c>
      <c r="G929" t="s">
        <v>22</v>
      </c>
      <c r="I929" s="37">
        <v>746.99</v>
      </c>
      <c r="L929" s="37">
        <v>746.99</v>
      </c>
    </row>
    <row r="930" spans="1:14" x14ac:dyDescent="0.25">
      <c r="A930" s="1">
        <v>46056</v>
      </c>
      <c r="B930">
        <v>1</v>
      </c>
      <c r="C930" t="s">
        <v>542</v>
      </c>
      <c r="D930" t="s">
        <v>99</v>
      </c>
      <c r="E930" t="s">
        <v>334</v>
      </c>
      <c r="F930" t="s">
        <v>28</v>
      </c>
      <c r="G930" t="s">
        <v>13</v>
      </c>
      <c r="I930" s="37">
        <v>931.99</v>
      </c>
      <c r="L930" s="37">
        <v>931.99</v>
      </c>
    </row>
    <row r="931" spans="1:14" x14ac:dyDescent="0.25">
      <c r="A931" s="1">
        <v>46056</v>
      </c>
      <c r="B931">
        <v>1</v>
      </c>
      <c r="C931" t="s">
        <v>542</v>
      </c>
      <c r="D931" t="s">
        <v>89</v>
      </c>
      <c r="E931" t="s">
        <v>335</v>
      </c>
      <c r="F931" t="s">
        <v>158</v>
      </c>
      <c r="G931" t="s">
        <v>104</v>
      </c>
      <c r="I931" s="37">
        <v>746.99</v>
      </c>
      <c r="L931" s="37">
        <v>746.99</v>
      </c>
    </row>
    <row r="932" spans="1:14" x14ac:dyDescent="0.25">
      <c r="A932" s="1">
        <v>46056</v>
      </c>
      <c r="B932">
        <v>1</v>
      </c>
      <c r="C932" t="s">
        <v>542</v>
      </c>
      <c r="D932" t="s">
        <v>336</v>
      </c>
      <c r="E932" t="s">
        <v>337</v>
      </c>
      <c r="F932" t="s">
        <v>41</v>
      </c>
      <c r="G932" t="s">
        <v>13</v>
      </c>
      <c r="I932" s="37">
        <v>746.99</v>
      </c>
      <c r="L932" s="37">
        <v>746.99</v>
      </c>
    </row>
    <row r="933" spans="1:14" x14ac:dyDescent="0.25">
      <c r="A933" s="1">
        <v>46056</v>
      </c>
      <c r="B933">
        <v>1</v>
      </c>
      <c r="C933" t="s">
        <v>542</v>
      </c>
      <c r="D933" t="s">
        <v>336</v>
      </c>
      <c r="E933" t="s">
        <v>338</v>
      </c>
      <c r="F933" t="s">
        <v>55</v>
      </c>
      <c r="G933" t="s">
        <v>13</v>
      </c>
      <c r="I933" s="37">
        <v>746.99</v>
      </c>
      <c r="L933" s="37">
        <v>746.99</v>
      </c>
    </row>
    <row r="934" spans="1:14" x14ac:dyDescent="0.25">
      <c r="A934" s="1">
        <v>46056</v>
      </c>
      <c r="B934">
        <v>1</v>
      </c>
      <c r="C934" t="s">
        <v>542</v>
      </c>
      <c r="D934" t="s">
        <v>336</v>
      </c>
      <c r="E934" t="s">
        <v>339</v>
      </c>
      <c r="F934" t="s">
        <v>55</v>
      </c>
      <c r="G934" t="s">
        <v>340</v>
      </c>
      <c r="I934" s="37">
        <v>746.99</v>
      </c>
      <c r="L934" s="37">
        <v>746.99</v>
      </c>
    </row>
    <row r="935" spans="1:14" x14ac:dyDescent="0.25">
      <c r="A935" s="1">
        <v>46056</v>
      </c>
      <c r="B935">
        <v>1</v>
      </c>
      <c r="C935" t="s">
        <v>542</v>
      </c>
      <c r="D935" t="s">
        <v>336</v>
      </c>
      <c r="E935" t="s">
        <v>341</v>
      </c>
      <c r="F935" t="s">
        <v>52</v>
      </c>
      <c r="G935" t="s">
        <v>183</v>
      </c>
      <c r="I935" s="37">
        <v>1251.99</v>
      </c>
      <c r="L935" s="37">
        <v>1251.99</v>
      </c>
    </row>
    <row r="936" spans="1:14" x14ac:dyDescent="0.25">
      <c r="A936" s="1">
        <v>46056</v>
      </c>
      <c r="B936">
        <v>1</v>
      </c>
      <c r="C936" t="s">
        <v>542</v>
      </c>
      <c r="D936" t="s">
        <v>99</v>
      </c>
      <c r="E936" t="s">
        <v>344</v>
      </c>
      <c r="F936" t="s">
        <v>116</v>
      </c>
      <c r="G936" t="s">
        <v>13</v>
      </c>
      <c r="I936" s="37">
        <v>746.99</v>
      </c>
      <c r="L936" s="37">
        <v>746.99</v>
      </c>
    </row>
    <row r="937" spans="1:14" x14ac:dyDescent="0.25">
      <c r="A937" s="1">
        <v>46063</v>
      </c>
      <c r="B937">
        <v>2</v>
      </c>
      <c r="C937" t="s">
        <v>541</v>
      </c>
      <c r="D937" t="s">
        <v>10</v>
      </c>
      <c r="E937" t="s">
        <v>11</v>
      </c>
      <c r="F937" t="s">
        <v>12</v>
      </c>
      <c r="G937" t="s">
        <v>13</v>
      </c>
      <c r="I937" s="37">
        <v>746.99</v>
      </c>
      <c r="K937" s="37">
        <v>1.99</v>
      </c>
      <c r="L937" s="37">
        <v>745</v>
      </c>
      <c r="N937" s="37">
        <v>745</v>
      </c>
    </row>
    <row r="938" spans="1:14" x14ac:dyDescent="0.25">
      <c r="A938" s="1">
        <v>46063</v>
      </c>
      <c r="B938">
        <v>2</v>
      </c>
      <c r="C938" t="s">
        <v>541</v>
      </c>
      <c r="D938" t="s">
        <v>10</v>
      </c>
      <c r="E938" t="s">
        <v>15</v>
      </c>
      <c r="F938" t="s">
        <v>16</v>
      </c>
      <c r="G938" t="s">
        <v>13</v>
      </c>
      <c r="I938" s="37">
        <v>1251.99</v>
      </c>
      <c r="J938" s="37">
        <v>8.01</v>
      </c>
      <c r="L938" s="37">
        <v>1260</v>
      </c>
      <c r="N938" s="37">
        <v>1260</v>
      </c>
    </row>
    <row r="939" spans="1:14" x14ac:dyDescent="0.25">
      <c r="A939" s="1">
        <v>46063</v>
      </c>
      <c r="B939">
        <v>2</v>
      </c>
      <c r="C939" t="s">
        <v>541</v>
      </c>
      <c r="D939" t="s">
        <v>10</v>
      </c>
      <c r="E939" t="s">
        <v>18</v>
      </c>
      <c r="F939" t="s">
        <v>12</v>
      </c>
      <c r="G939" t="s">
        <v>13</v>
      </c>
      <c r="I939" s="37">
        <v>746.99</v>
      </c>
      <c r="K939" s="37">
        <v>1.99</v>
      </c>
      <c r="L939" s="37">
        <v>745</v>
      </c>
      <c r="N939" s="37">
        <v>745</v>
      </c>
    </row>
    <row r="940" spans="1:14" x14ac:dyDescent="0.25">
      <c r="A940" s="1">
        <v>46063</v>
      </c>
      <c r="B940">
        <v>2</v>
      </c>
      <c r="C940" t="s">
        <v>541</v>
      </c>
      <c r="D940" t="s">
        <v>10</v>
      </c>
      <c r="E940" t="s">
        <v>20</v>
      </c>
      <c r="F940" t="s">
        <v>21</v>
      </c>
      <c r="G940" t="s">
        <v>22</v>
      </c>
      <c r="I940" s="37">
        <v>651.99</v>
      </c>
      <c r="K940" s="37">
        <v>186.99</v>
      </c>
      <c r="L940" s="37">
        <v>465</v>
      </c>
      <c r="N940" s="37">
        <v>465</v>
      </c>
    </row>
    <row r="941" spans="1:14" x14ac:dyDescent="0.25">
      <c r="A941" s="1">
        <v>46063</v>
      </c>
      <c r="B941">
        <v>2</v>
      </c>
      <c r="C941" t="s">
        <v>541</v>
      </c>
      <c r="D941" t="s">
        <v>10</v>
      </c>
      <c r="E941" t="s">
        <v>24</v>
      </c>
      <c r="F941" t="s">
        <v>25</v>
      </c>
      <c r="G941" t="s">
        <v>13</v>
      </c>
      <c r="I941" s="37">
        <v>1450</v>
      </c>
      <c r="J941" s="37">
        <v>90</v>
      </c>
      <c r="L941" s="37">
        <v>1540</v>
      </c>
      <c r="N941" s="37">
        <v>1540</v>
      </c>
    </row>
    <row r="942" spans="1:14" x14ac:dyDescent="0.25">
      <c r="A942" s="1">
        <v>46063</v>
      </c>
      <c r="B942">
        <v>2</v>
      </c>
      <c r="C942" t="s">
        <v>541</v>
      </c>
      <c r="D942" t="s">
        <v>10</v>
      </c>
      <c r="E942" t="s">
        <v>27</v>
      </c>
      <c r="F942" t="s">
        <v>28</v>
      </c>
      <c r="G942" t="s">
        <v>13</v>
      </c>
      <c r="I942" s="37">
        <v>931.99</v>
      </c>
      <c r="K942" s="37">
        <v>1.99</v>
      </c>
      <c r="L942" s="37">
        <v>930</v>
      </c>
      <c r="N942" s="37">
        <v>930</v>
      </c>
    </row>
    <row r="943" spans="1:14" x14ac:dyDescent="0.25">
      <c r="A943" s="1">
        <v>46063</v>
      </c>
      <c r="B943">
        <v>2</v>
      </c>
      <c r="C943" t="s">
        <v>541</v>
      </c>
      <c r="D943" t="s">
        <v>10</v>
      </c>
      <c r="E943" t="s">
        <v>30</v>
      </c>
      <c r="F943" t="s">
        <v>28</v>
      </c>
      <c r="G943" t="s">
        <v>13</v>
      </c>
      <c r="I943" s="37">
        <v>931.99</v>
      </c>
      <c r="K943" s="37">
        <v>1.99</v>
      </c>
      <c r="L943" s="37">
        <v>930</v>
      </c>
      <c r="N943" s="37">
        <v>930</v>
      </c>
    </row>
    <row r="944" spans="1:14" x14ac:dyDescent="0.25">
      <c r="A944" s="1">
        <v>46063</v>
      </c>
      <c r="B944">
        <v>2</v>
      </c>
      <c r="C944" t="s">
        <v>541</v>
      </c>
      <c r="D944" t="s">
        <v>10</v>
      </c>
      <c r="E944" t="s">
        <v>32</v>
      </c>
      <c r="F944" t="s">
        <v>33</v>
      </c>
      <c r="G944" t="s">
        <v>13</v>
      </c>
      <c r="I944" s="37">
        <v>851.99</v>
      </c>
      <c r="L944" s="37">
        <v>851.99</v>
      </c>
      <c r="N944" s="37">
        <v>851.99</v>
      </c>
    </row>
    <row r="945" spans="1:14" x14ac:dyDescent="0.25">
      <c r="A945" s="1">
        <v>46063</v>
      </c>
      <c r="B945">
        <v>2</v>
      </c>
      <c r="C945" t="s">
        <v>541</v>
      </c>
      <c r="D945" t="s">
        <v>706</v>
      </c>
      <c r="E945" t="s">
        <v>34</v>
      </c>
      <c r="F945" t="s">
        <v>33</v>
      </c>
      <c r="G945" t="s">
        <v>13</v>
      </c>
      <c r="I945" s="37">
        <v>851.99</v>
      </c>
      <c r="L945" s="37">
        <v>851.99</v>
      </c>
    </row>
    <row r="946" spans="1:14" x14ac:dyDescent="0.25">
      <c r="A946" s="1">
        <v>46063</v>
      </c>
      <c r="B946">
        <v>2</v>
      </c>
      <c r="C946" t="s">
        <v>541</v>
      </c>
      <c r="D946" t="s">
        <v>10</v>
      </c>
      <c r="E946" t="s">
        <v>36</v>
      </c>
      <c r="F946" t="s">
        <v>37</v>
      </c>
      <c r="G946" t="s">
        <v>38</v>
      </c>
      <c r="I946" s="37">
        <v>746.99</v>
      </c>
      <c r="K946" s="37">
        <v>1.99</v>
      </c>
      <c r="L946" s="37">
        <v>745</v>
      </c>
      <c r="N946" s="37">
        <v>745</v>
      </c>
    </row>
    <row r="947" spans="1:14" x14ac:dyDescent="0.25">
      <c r="A947" s="1">
        <v>46063</v>
      </c>
      <c r="B947">
        <v>2</v>
      </c>
      <c r="C947" t="s">
        <v>541</v>
      </c>
      <c r="D947" t="s">
        <v>10</v>
      </c>
      <c r="E947" t="s">
        <v>40</v>
      </c>
      <c r="F947" t="s">
        <v>41</v>
      </c>
      <c r="G947" t="s">
        <v>42</v>
      </c>
      <c r="I947" s="37">
        <v>746.99</v>
      </c>
      <c r="K947" s="37">
        <v>1.99</v>
      </c>
      <c r="L947" s="37">
        <v>745</v>
      </c>
      <c r="N947" s="37">
        <v>745</v>
      </c>
    </row>
    <row r="948" spans="1:14" x14ac:dyDescent="0.25">
      <c r="A948" s="1">
        <v>46063</v>
      </c>
      <c r="B948">
        <v>2</v>
      </c>
      <c r="C948" t="s">
        <v>541</v>
      </c>
      <c r="D948" t="s">
        <v>10</v>
      </c>
      <c r="E948" t="s">
        <v>44</v>
      </c>
      <c r="F948" t="s">
        <v>12</v>
      </c>
      <c r="G948" t="s">
        <v>13</v>
      </c>
      <c r="I948" s="37">
        <v>746.99</v>
      </c>
      <c r="L948" s="37">
        <v>746.99</v>
      </c>
      <c r="N948" s="37">
        <v>746.99</v>
      </c>
    </row>
    <row r="949" spans="1:14" x14ac:dyDescent="0.25">
      <c r="A949" s="1">
        <v>46063</v>
      </c>
      <c r="B949">
        <v>2</v>
      </c>
      <c r="C949" t="s">
        <v>541</v>
      </c>
      <c r="D949" t="s">
        <v>10</v>
      </c>
      <c r="E949" t="s">
        <v>51</v>
      </c>
      <c r="F949" t="s">
        <v>52</v>
      </c>
      <c r="G949" t="s">
        <v>13</v>
      </c>
      <c r="I949" s="37">
        <v>1251.99</v>
      </c>
      <c r="J949" s="37">
        <v>0.66</v>
      </c>
      <c r="L949" s="37">
        <v>1252.6500000000001</v>
      </c>
      <c r="N949" s="37">
        <v>1252.6500000000001</v>
      </c>
    </row>
    <row r="950" spans="1:14" x14ac:dyDescent="0.25">
      <c r="A950" s="1">
        <v>46063</v>
      </c>
      <c r="B950">
        <v>2</v>
      </c>
      <c r="C950" t="s">
        <v>541</v>
      </c>
      <c r="D950" t="s">
        <v>10</v>
      </c>
      <c r="E950" t="s">
        <v>54</v>
      </c>
      <c r="F950" t="s">
        <v>55</v>
      </c>
      <c r="G950" t="s">
        <v>56</v>
      </c>
      <c r="I950" s="37">
        <v>746.99</v>
      </c>
      <c r="J950" s="37">
        <v>63.01</v>
      </c>
      <c r="L950" s="37">
        <v>810</v>
      </c>
      <c r="N950" s="37">
        <v>810</v>
      </c>
    </row>
    <row r="951" spans="1:14" x14ac:dyDescent="0.25">
      <c r="A951" s="1">
        <v>46063</v>
      </c>
      <c r="B951">
        <v>2</v>
      </c>
      <c r="C951" t="s">
        <v>541</v>
      </c>
      <c r="D951" t="s">
        <v>10</v>
      </c>
      <c r="E951" t="s">
        <v>58</v>
      </c>
      <c r="F951" t="s">
        <v>37</v>
      </c>
      <c r="G951" t="s">
        <v>38</v>
      </c>
      <c r="I951" s="37">
        <v>746.99</v>
      </c>
      <c r="L951" s="37">
        <v>746.99</v>
      </c>
      <c r="N951" s="37">
        <v>746.99</v>
      </c>
    </row>
    <row r="952" spans="1:14" x14ac:dyDescent="0.25">
      <c r="A952" s="1">
        <v>46063</v>
      </c>
      <c r="B952">
        <v>2</v>
      </c>
      <c r="C952" t="s">
        <v>541</v>
      </c>
      <c r="D952" t="s">
        <v>10</v>
      </c>
      <c r="E952" t="s">
        <v>60</v>
      </c>
      <c r="F952" t="s">
        <v>52</v>
      </c>
      <c r="G952" t="s">
        <v>38</v>
      </c>
      <c r="I952" s="37">
        <v>1251.99</v>
      </c>
      <c r="L952" s="37">
        <v>1251.99</v>
      </c>
      <c r="N952" s="37">
        <v>1251.99</v>
      </c>
    </row>
    <row r="953" spans="1:14" x14ac:dyDescent="0.25">
      <c r="A953" s="1">
        <v>46063</v>
      </c>
      <c r="B953">
        <v>2</v>
      </c>
      <c r="C953" t="s">
        <v>541</v>
      </c>
      <c r="D953" t="s">
        <v>10</v>
      </c>
      <c r="E953" t="s">
        <v>62</v>
      </c>
      <c r="F953" t="s">
        <v>12</v>
      </c>
      <c r="G953" t="s">
        <v>13</v>
      </c>
      <c r="I953" s="37">
        <v>746.99</v>
      </c>
      <c r="K953" s="37">
        <v>196.99</v>
      </c>
      <c r="L953" s="37">
        <v>550</v>
      </c>
      <c r="N953" s="37">
        <v>550</v>
      </c>
    </row>
    <row r="954" spans="1:14" x14ac:dyDescent="0.25">
      <c r="A954" s="1">
        <v>46063</v>
      </c>
      <c r="B954">
        <v>2</v>
      </c>
      <c r="C954" t="s">
        <v>541</v>
      </c>
      <c r="D954" t="s">
        <v>10</v>
      </c>
      <c r="E954" t="s">
        <v>64</v>
      </c>
      <c r="F954" t="s">
        <v>65</v>
      </c>
      <c r="G954" t="s">
        <v>66</v>
      </c>
      <c r="I954" s="37">
        <v>1381.99</v>
      </c>
      <c r="K954" s="37">
        <v>1.99</v>
      </c>
      <c r="L954" s="37">
        <v>1380</v>
      </c>
      <c r="N954" s="37">
        <v>1380</v>
      </c>
    </row>
    <row r="955" spans="1:14" x14ac:dyDescent="0.25">
      <c r="A955" s="1">
        <v>46063</v>
      </c>
      <c r="B955">
        <v>2</v>
      </c>
      <c r="C955" t="s">
        <v>541</v>
      </c>
      <c r="D955" t="s">
        <v>10</v>
      </c>
      <c r="E955" t="s">
        <v>68</v>
      </c>
      <c r="F955" t="s">
        <v>69</v>
      </c>
      <c r="G955" t="s">
        <v>70</v>
      </c>
      <c r="I955" s="37">
        <v>801.99</v>
      </c>
      <c r="J955" s="37">
        <v>0.01</v>
      </c>
      <c r="L955" s="37">
        <v>802</v>
      </c>
      <c r="N955" s="37">
        <v>802</v>
      </c>
    </row>
    <row r="956" spans="1:14" x14ac:dyDescent="0.25">
      <c r="A956" s="1">
        <v>46063</v>
      </c>
      <c r="B956">
        <v>2</v>
      </c>
      <c r="C956" t="s">
        <v>541</v>
      </c>
      <c r="D956" t="s">
        <v>10</v>
      </c>
      <c r="E956" t="s">
        <v>72</v>
      </c>
      <c r="F956" t="s">
        <v>73</v>
      </c>
      <c r="G956" t="s">
        <v>13</v>
      </c>
      <c r="I956" s="37">
        <v>1850</v>
      </c>
      <c r="J956" s="37">
        <v>60</v>
      </c>
      <c r="L956" s="37">
        <v>1910</v>
      </c>
      <c r="N956" s="37">
        <v>1910</v>
      </c>
    </row>
    <row r="957" spans="1:14" x14ac:dyDescent="0.25">
      <c r="A957" s="1">
        <v>46063</v>
      </c>
      <c r="B957">
        <v>2</v>
      </c>
      <c r="C957" t="s">
        <v>541</v>
      </c>
      <c r="D957" t="s">
        <v>10</v>
      </c>
      <c r="E957" t="s">
        <v>75</v>
      </c>
      <c r="F957" t="s">
        <v>76</v>
      </c>
      <c r="G957" t="s">
        <v>77</v>
      </c>
      <c r="I957" s="37">
        <v>1451.99</v>
      </c>
      <c r="L957" s="37">
        <v>1451.99</v>
      </c>
      <c r="N957" s="37">
        <v>1451.99</v>
      </c>
    </row>
    <row r="958" spans="1:14" x14ac:dyDescent="0.25">
      <c r="A958" s="1">
        <v>46063</v>
      </c>
      <c r="B958">
        <v>2</v>
      </c>
      <c r="C958" t="s">
        <v>541</v>
      </c>
      <c r="D958" t="s">
        <v>10</v>
      </c>
      <c r="E958" t="s">
        <v>79</v>
      </c>
      <c r="F958" t="s">
        <v>76</v>
      </c>
      <c r="G958" t="s">
        <v>77</v>
      </c>
      <c r="I958" s="37">
        <v>1451.99</v>
      </c>
      <c r="L958" s="37">
        <v>1451.99</v>
      </c>
      <c r="N958" s="37">
        <v>1451.99</v>
      </c>
    </row>
    <row r="959" spans="1:14" x14ac:dyDescent="0.25">
      <c r="A959" s="1">
        <v>46063</v>
      </c>
      <c r="B959">
        <v>2</v>
      </c>
      <c r="C959" t="s">
        <v>541</v>
      </c>
      <c r="D959" t="s">
        <v>10</v>
      </c>
      <c r="E959" t="s">
        <v>46</v>
      </c>
      <c r="F959" t="s">
        <v>12</v>
      </c>
      <c r="G959" t="s">
        <v>13</v>
      </c>
      <c r="I959" s="37">
        <v>746.99</v>
      </c>
      <c r="J959" s="37">
        <v>0.01</v>
      </c>
      <c r="L959" s="37">
        <v>747</v>
      </c>
      <c r="N959" s="37">
        <v>747</v>
      </c>
    </row>
    <row r="960" spans="1:14" x14ac:dyDescent="0.25">
      <c r="A960" s="1">
        <v>46063</v>
      </c>
      <c r="B960">
        <v>2</v>
      </c>
      <c r="C960" t="s">
        <v>542</v>
      </c>
      <c r="D960" t="s">
        <v>136</v>
      </c>
      <c r="E960" t="s">
        <v>162</v>
      </c>
      <c r="F960" t="s">
        <v>158</v>
      </c>
      <c r="G960" t="s">
        <v>104</v>
      </c>
      <c r="I960" s="37">
        <v>746.99</v>
      </c>
      <c r="L960" s="37">
        <v>746.99</v>
      </c>
    </row>
    <row r="961" spans="1:14" x14ac:dyDescent="0.25">
      <c r="A961" s="1">
        <v>46063</v>
      </c>
      <c r="B961">
        <v>2</v>
      </c>
      <c r="C961" t="s">
        <v>541</v>
      </c>
      <c r="D961" t="s">
        <v>10</v>
      </c>
      <c r="E961" t="s">
        <v>171</v>
      </c>
      <c r="F961" t="s">
        <v>52</v>
      </c>
      <c r="G961" t="s">
        <v>13</v>
      </c>
      <c r="I961" s="37">
        <v>1251.99</v>
      </c>
      <c r="L961" s="37">
        <v>1251.99</v>
      </c>
      <c r="N961" s="37">
        <v>1251.99</v>
      </c>
    </row>
    <row r="962" spans="1:14" x14ac:dyDescent="0.25">
      <c r="A962" s="1">
        <v>46063</v>
      </c>
      <c r="B962">
        <v>2</v>
      </c>
      <c r="C962" t="s">
        <v>542</v>
      </c>
      <c r="D962" t="s">
        <v>234</v>
      </c>
      <c r="E962" t="s">
        <v>180</v>
      </c>
      <c r="F962" t="s">
        <v>52</v>
      </c>
      <c r="G962" t="s">
        <v>38</v>
      </c>
      <c r="I962" s="37">
        <v>1251.99</v>
      </c>
      <c r="L962" s="37">
        <v>1251.99</v>
      </c>
    </row>
    <row r="963" spans="1:14" x14ac:dyDescent="0.25">
      <c r="A963" s="1">
        <v>46063</v>
      </c>
      <c r="B963">
        <v>2</v>
      </c>
      <c r="C963" t="s">
        <v>541</v>
      </c>
      <c r="D963" t="s">
        <v>10</v>
      </c>
      <c r="E963" t="s">
        <v>288</v>
      </c>
      <c r="F963" t="s">
        <v>55</v>
      </c>
      <c r="G963" t="s">
        <v>104</v>
      </c>
      <c r="I963" s="37">
        <v>746.99</v>
      </c>
      <c r="L963" s="37">
        <v>746.99</v>
      </c>
      <c r="N963" s="37">
        <v>746.99</v>
      </c>
    </row>
    <row r="964" spans="1:14" x14ac:dyDescent="0.25">
      <c r="A964" s="1">
        <v>46063</v>
      </c>
      <c r="B964">
        <v>2</v>
      </c>
      <c r="C964" t="s">
        <v>541</v>
      </c>
      <c r="D964" t="s">
        <v>10</v>
      </c>
      <c r="E964" t="s">
        <v>300</v>
      </c>
      <c r="F964" t="s">
        <v>301</v>
      </c>
      <c r="G964" t="s">
        <v>104</v>
      </c>
      <c r="I964" s="37">
        <v>746.99</v>
      </c>
      <c r="L964" s="37">
        <v>746.99</v>
      </c>
      <c r="N964" s="37">
        <v>746.99</v>
      </c>
    </row>
    <row r="965" spans="1:14" x14ac:dyDescent="0.25">
      <c r="A965" s="1">
        <v>46063</v>
      </c>
      <c r="B965">
        <v>2</v>
      </c>
      <c r="C965" t="s">
        <v>541</v>
      </c>
      <c r="D965" t="s">
        <v>10</v>
      </c>
      <c r="E965" t="s">
        <v>327</v>
      </c>
      <c r="F965" t="s">
        <v>158</v>
      </c>
      <c r="G965" t="s">
        <v>22</v>
      </c>
      <c r="I965" s="37">
        <v>746.99</v>
      </c>
      <c r="L965" s="37">
        <v>746.99</v>
      </c>
      <c r="N965" s="37">
        <v>746.99</v>
      </c>
    </row>
    <row r="966" spans="1:14" x14ac:dyDescent="0.25">
      <c r="A966" s="1">
        <v>46063</v>
      </c>
      <c r="B966">
        <v>2</v>
      </c>
      <c r="C966" t="s">
        <v>541</v>
      </c>
      <c r="D966" t="s">
        <v>10</v>
      </c>
      <c r="E966" t="s">
        <v>81</v>
      </c>
      <c r="F966" t="s">
        <v>12</v>
      </c>
      <c r="G966" t="s">
        <v>13</v>
      </c>
      <c r="I966" s="37">
        <v>746.99</v>
      </c>
      <c r="J966" s="37">
        <v>58.01</v>
      </c>
      <c r="L966" s="37">
        <v>805</v>
      </c>
      <c r="N966" s="37">
        <v>805</v>
      </c>
    </row>
    <row r="967" spans="1:14" x14ac:dyDescent="0.25">
      <c r="A967" s="1">
        <v>46063</v>
      </c>
      <c r="B967">
        <v>2</v>
      </c>
      <c r="C967" t="s">
        <v>541</v>
      </c>
      <c r="D967" t="s">
        <v>10</v>
      </c>
      <c r="E967" t="s">
        <v>83</v>
      </c>
      <c r="F967" t="s">
        <v>41</v>
      </c>
      <c r="G967" t="s">
        <v>13</v>
      </c>
      <c r="I967" s="37">
        <v>746.99</v>
      </c>
      <c r="K967" s="37">
        <v>1.99</v>
      </c>
      <c r="L967" s="37">
        <v>745</v>
      </c>
      <c r="N967" s="37">
        <v>745</v>
      </c>
    </row>
    <row r="968" spans="1:14" x14ac:dyDescent="0.25">
      <c r="A968" s="1">
        <v>46063</v>
      </c>
      <c r="B968">
        <v>2</v>
      </c>
      <c r="C968" t="s">
        <v>541</v>
      </c>
      <c r="D968" t="s">
        <v>10</v>
      </c>
      <c r="E968" t="s">
        <v>85</v>
      </c>
      <c r="F968" t="s">
        <v>28</v>
      </c>
      <c r="G968" t="s">
        <v>66</v>
      </c>
      <c r="I968" s="37">
        <v>931.99</v>
      </c>
      <c r="J968" s="37">
        <v>30.01</v>
      </c>
      <c r="L968" s="37">
        <v>962</v>
      </c>
      <c r="N968" s="37">
        <v>962</v>
      </c>
    </row>
    <row r="969" spans="1:14" x14ac:dyDescent="0.25">
      <c r="A969" s="1">
        <v>46063</v>
      </c>
      <c r="B969">
        <v>2</v>
      </c>
      <c r="C969" t="s">
        <v>541</v>
      </c>
      <c r="D969" t="s">
        <v>10</v>
      </c>
      <c r="E969" t="s">
        <v>87</v>
      </c>
      <c r="F969" t="s">
        <v>28</v>
      </c>
      <c r="G969" t="s">
        <v>13</v>
      </c>
      <c r="I969" s="37">
        <v>931.99</v>
      </c>
      <c r="K969" s="37">
        <v>1.99</v>
      </c>
      <c r="L969" s="37">
        <v>930</v>
      </c>
      <c r="N969" s="37">
        <v>930</v>
      </c>
    </row>
    <row r="970" spans="1:14" x14ac:dyDescent="0.25">
      <c r="A970" s="1">
        <v>46063</v>
      </c>
      <c r="B970">
        <v>2</v>
      </c>
      <c r="C970" t="s">
        <v>541</v>
      </c>
      <c r="D970" t="s">
        <v>10</v>
      </c>
      <c r="E970" t="s">
        <v>90</v>
      </c>
      <c r="F970" t="s">
        <v>91</v>
      </c>
      <c r="G970" t="s">
        <v>22</v>
      </c>
      <c r="I970" s="37">
        <v>550</v>
      </c>
      <c r="K970" s="37">
        <v>158</v>
      </c>
      <c r="L970" s="37">
        <v>392</v>
      </c>
      <c r="N970" s="37">
        <v>392</v>
      </c>
    </row>
    <row r="971" spans="1:14" x14ac:dyDescent="0.25">
      <c r="A971" s="1">
        <v>46063</v>
      </c>
      <c r="B971">
        <v>2</v>
      </c>
      <c r="C971" t="s">
        <v>541</v>
      </c>
      <c r="D971" t="s">
        <v>10</v>
      </c>
      <c r="E971" t="s">
        <v>93</v>
      </c>
      <c r="F971" t="s">
        <v>94</v>
      </c>
      <c r="G971" t="s">
        <v>95</v>
      </c>
      <c r="I971" s="37">
        <v>746.99</v>
      </c>
      <c r="K971" s="37">
        <v>0.99</v>
      </c>
      <c r="L971" s="37">
        <v>746</v>
      </c>
      <c r="N971" s="37">
        <v>746</v>
      </c>
    </row>
    <row r="972" spans="1:14" x14ac:dyDescent="0.25">
      <c r="A972" s="1">
        <v>46063</v>
      </c>
      <c r="B972">
        <v>2</v>
      </c>
      <c r="C972" t="s">
        <v>541</v>
      </c>
      <c r="D972" t="s">
        <v>10</v>
      </c>
      <c r="E972" t="s">
        <v>102</v>
      </c>
      <c r="F972" t="s">
        <v>103</v>
      </c>
      <c r="G972" t="s">
        <v>104</v>
      </c>
      <c r="I972" s="37">
        <v>801.99</v>
      </c>
      <c r="J972" s="37">
        <v>28.01</v>
      </c>
      <c r="L972" s="37">
        <v>830</v>
      </c>
      <c r="N972" s="37">
        <v>830</v>
      </c>
    </row>
    <row r="973" spans="1:14" x14ac:dyDescent="0.25">
      <c r="A973" s="1">
        <v>46063</v>
      </c>
      <c r="B973">
        <v>2</v>
      </c>
      <c r="C973" t="s">
        <v>541</v>
      </c>
      <c r="D973" t="s">
        <v>10</v>
      </c>
      <c r="E973" t="s">
        <v>307</v>
      </c>
      <c r="F973" t="s">
        <v>214</v>
      </c>
      <c r="G973" t="s">
        <v>66</v>
      </c>
      <c r="I973" s="37">
        <v>851.99</v>
      </c>
      <c r="L973" s="37">
        <v>851.99</v>
      </c>
      <c r="N973" s="37">
        <v>851.99</v>
      </c>
    </row>
    <row r="974" spans="1:14" x14ac:dyDescent="0.25">
      <c r="A974" s="1">
        <v>46063</v>
      </c>
      <c r="B974">
        <v>2</v>
      </c>
      <c r="C974" t="s">
        <v>541</v>
      </c>
      <c r="D974" t="s">
        <v>10</v>
      </c>
      <c r="E974" t="s">
        <v>110</v>
      </c>
      <c r="F974" t="s">
        <v>55</v>
      </c>
      <c r="G974" t="s">
        <v>111</v>
      </c>
      <c r="I974" s="37">
        <v>746.99</v>
      </c>
      <c r="J974" s="37">
        <v>0.01</v>
      </c>
      <c r="L974" s="37">
        <v>747</v>
      </c>
      <c r="N974" s="37">
        <v>747</v>
      </c>
    </row>
    <row r="975" spans="1:14" x14ac:dyDescent="0.25">
      <c r="A975" s="1">
        <v>46063</v>
      </c>
      <c r="B975">
        <v>2</v>
      </c>
      <c r="C975" t="s">
        <v>541</v>
      </c>
      <c r="D975" t="s">
        <v>10</v>
      </c>
      <c r="E975" t="s">
        <v>113</v>
      </c>
      <c r="F975" t="s">
        <v>12</v>
      </c>
      <c r="G975" t="s">
        <v>13</v>
      </c>
      <c r="I975" s="37">
        <v>746.99</v>
      </c>
      <c r="J975" s="37">
        <v>28.01</v>
      </c>
      <c r="L975" s="37">
        <v>775</v>
      </c>
      <c r="N975" s="37">
        <v>775</v>
      </c>
    </row>
    <row r="976" spans="1:14" x14ac:dyDescent="0.25">
      <c r="A976" s="1">
        <v>46063</v>
      </c>
      <c r="B976">
        <v>2</v>
      </c>
      <c r="C976" t="s">
        <v>541</v>
      </c>
      <c r="D976" t="s">
        <v>10</v>
      </c>
      <c r="E976" t="s">
        <v>118</v>
      </c>
      <c r="F976" t="s">
        <v>119</v>
      </c>
      <c r="G976" t="s">
        <v>13</v>
      </c>
      <c r="I976" s="37">
        <v>851.99</v>
      </c>
      <c r="J976" s="37">
        <v>38</v>
      </c>
      <c r="L976" s="37">
        <v>889.99</v>
      </c>
      <c r="N976" s="37">
        <v>889.99</v>
      </c>
    </row>
    <row r="977" spans="1:14" x14ac:dyDescent="0.25">
      <c r="A977" s="1">
        <v>46063</v>
      </c>
      <c r="B977">
        <v>2</v>
      </c>
      <c r="C977" t="s">
        <v>541</v>
      </c>
      <c r="D977" t="s">
        <v>10</v>
      </c>
      <c r="E977" t="s">
        <v>124</v>
      </c>
      <c r="F977" t="s">
        <v>52</v>
      </c>
      <c r="G977" t="s">
        <v>77</v>
      </c>
      <c r="I977" s="37">
        <v>1251.99</v>
      </c>
      <c r="J977" s="37">
        <v>60</v>
      </c>
      <c r="L977" s="37">
        <v>1311.99</v>
      </c>
      <c r="N977" s="37">
        <v>1311.99</v>
      </c>
    </row>
    <row r="978" spans="1:14" x14ac:dyDescent="0.25">
      <c r="A978" s="1">
        <v>46063</v>
      </c>
      <c r="B978">
        <v>2</v>
      </c>
      <c r="C978" t="s">
        <v>541</v>
      </c>
      <c r="D978" t="s">
        <v>10</v>
      </c>
      <c r="E978" t="s">
        <v>302</v>
      </c>
      <c r="F978" t="s">
        <v>37</v>
      </c>
      <c r="G978" t="s">
        <v>13</v>
      </c>
      <c r="I978" s="37">
        <v>746.99</v>
      </c>
      <c r="K978" s="37">
        <v>0.99</v>
      </c>
      <c r="L978" s="37">
        <v>746</v>
      </c>
      <c r="N978" s="37">
        <v>746</v>
      </c>
    </row>
    <row r="979" spans="1:14" x14ac:dyDescent="0.25">
      <c r="A979" s="1">
        <v>46063</v>
      </c>
      <c r="B979">
        <v>2</v>
      </c>
      <c r="C979" t="s">
        <v>541</v>
      </c>
      <c r="D979" t="s">
        <v>10</v>
      </c>
      <c r="E979" t="s">
        <v>126</v>
      </c>
      <c r="F979" t="s">
        <v>55</v>
      </c>
      <c r="G979" t="s">
        <v>56</v>
      </c>
      <c r="I979" s="37">
        <v>746.99</v>
      </c>
      <c r="K979" s="37">
        <v>1.99</v>
      </c>
      <c r="L979" s="37">
        <v>745</v>
      </c>
      <c r="N979" s="37">
        <v>745</v>
      </c>
    </row>
    <row r="980" spans="1:14" x14ac:dyDescent="0.25">
      <c r="A980" s="1">
        <v>46063</v>
      </c>
      <c r="B980">
        <v>2</v>
      </c>
      <c r="C980" t="s">
        <v>541</v>
      </c>
      <c r="D980" t="s">
        <v>10</v>
      </c>
      <c r="E980" t="s">
        <v>128</v>
      </c>
      <c r="F980" t="s">
        <v>25</v>
      </c>
      <c r="G980" t="s">
        <v>13</v>
      </c>
      <c r="I980" s="37">
        <v>1351.99</v>
      </c>
      <c r="L980" s="37">
        <v>1351.99</v>
      </c>
      <c r="N980" s="37">
        <v>1351.99</v>
      </c>
    </row>
    <row r="981" spans="1:14" x14ac:dyDescent="0.25">
      <c r="A981" s="1">
        <v>46063</v>
      </c>
      <c r="B981">
        <v>2</v>
      </c>
      <c r="C981" t="s">
        <v>541</v>
      </c>
      <c r="D981" t="s">
        <v>10</v>
      </c>
      <c r="E981" t="s">
        <v>130</v>
      </c>
      <c r="F981" t="s">
        <v>28</v>
      </c>
      <c r="G981" t="s">
        <v>13</v>
      </c>
      <c r="I981" s="37">
        <v>931.99</v>
      </c>
      <c r="L981" s="37">
        <v>931.99</v>
      </c>
      <c r="N981" s="37">
        <v>931.99</v>
      </c>
    </row>
    <row r="982" spans="1:14" x14ac:dyDescent="0.25">
      <c r="A982" s="1">
        <v>46063</v>
      </c>
      <c r="B982">
        <v>2</v>
      </c>
      <c r="C982" t="s">
        <v>541</v>
      </c>
      <c r="D982" t="s">
        <v>10</v>
      </c>
      <c r="E982" t="s">
        <v>132</v>
      </c>
      <c r="F982" t="s">
        <v>76</v>
      </c>
      <c r="G982" t="s">
        <v>77</v>
      </c>
      <c r="I982" s="37">
        <v>1451.99</v>
      </c>
      <c r="J982" s="37">
        <v>30</v>
      </c>
      <c r="L982" s="37">
        <v>1481.99</v>
      </c>
      <c r="N982" s="37">
        <v>1481.99</v>
      </c>
    </row>
    <row r="983" spans="1:14" x14ac:dyDescent="0.25">
      <c r="A983" s="1">
        <v>46063</v>
      </c>
      <c r="B983">
        <v>2</v>
      </c>
      <c r="C983" t="s">
        <v>541</v>
      </c>
      <c r="D983" t="s">
        <v>10</v>
      </c>
      <c r="E983" t="s">
        <v>137</v>
      </c>
      <c r="F983" t="s">
        <v>12</v>
      </c>
      <c r="G983" t="s">
        <v>13</v>
      </c>
      <c r="I983" s="37">
        <v>746.99</v>
      </c>
      <c r="K983" s="37">
        <v>106.43</v>
      </c>
      <c r="L983" s="37">
        <v>640.55999999999995</v>
      </c>
      <c r="N983" s="37">
        <v>640.55999999999995</v>
      </c>
    </row>
    <row r="984" spans="1:14" x14ac:dyDescent="0.25">
      <c r="A984" s="1">
        <v>46063</v>
      </c>
      <c r="B984">
        <v>2</v>
      </c>
      <c r="C984" t="s">
        <v>541</v>
      </c>
      <c r="D984" t="s">
        <v>10</v>
      </c>
      <c r="E984" t="s">
        <v>115</v>
      </c>
      <c r="F984" t="s">
        <v>116</v>
      </c>
      <c r="G984" t="s">
        <v>13</v>
      </c>
      <c r="I984" s="37">
        <v>746.99</v>
      </c>
      <c r="L984" s="37">
        <v>791.99</v>
      </c>
      <c r="N984" s="37">
        <v>746.99</v>
      </c>
    </row>
    <row r="985" spans="1:14" x14ac:dyDescent="0.25">
      <c r="A985" s="1">
        <v>46063</v>
      </c>
      <c r="B985">
        <v>2</v>
      </c>
      <c r="C985" t="s">
        <v>541</v>
      </c>
      <c r="D985" t="s">
        <v>10</v>
      </c>
      <c r="E985" t="s">
        <v>235</v>
      </c>
      <c r="F985" t="s">
        <v>158</v>
      </c>
      <c r="G985" t="s">
        <v>104</v>
      </c>
      <c r="I985" s="37">
        <v>746.99</v>
      </c>
      <c r="L985" s="37">
        <v>791.99</v>
      </c>
      <c r="N985" s="37">
        <v>746.99</v>
      </c>
    </row>
    <row r="986" spans="1:14" x14ac:dyDescent="0.25">
      <c r="A986" s="1">
        <v>46063</v>
      </c>
      <c r="B986">
        <v>2</v>
      </c>
      <c r="C986" t="s">
        <v>541</v>
      </c>
      <c r="D986" t="s">
        <v>10</v>
      </c>
      <c r="E986" t="s">
        <v>287</v>
      </c>
      <c r="F986" t="s">
        <v>52</v>
      </c>
      <c r="G986" t="s">
        <v>77</v>
      </c>
      <c r="I986" s="37">
        <v>1251.99</v>
      </c>
      <c r="L986" s="37">
        <v>1296.99</v>
      </c>
      <c r="N986" s="37">
        <v>1251.99</v>
      </c>
    </row>
    <row r="987" spans="1:14" x14ac:dyDescent="0.25">
      <c r="A987" s="1">
        <v>46063</v>
      </c>
      <c r="B987">
        <v>2</v>
      </c>
      <c r="C987" t="s">
        <v>541</v>
      </c>
      <c r="D987" t="s">
        <v>10</v>
      </c>
      <c r="E987" t="s">
        <v>296</v>
      </c>
      <c r="F987" t="s">
        <v>37</v>
      </c>
      <c r="G987" t="s">
        <v>38</v>
      </c>
      <c r="I987" s="37">
        <v>745</v>
      </c>
      <c r="L987" s="37">
        <v>745</v>
      </c>
      <c r="N987" s="37">
        <v>745</v>
      </c>
    </row>
    <row r="988" spans="1:14" x14ac:dyDescent="0.25">
      <c r="A988" s="1">
        <v>46063</v>
      </c>
      <c r="B988">
        <v>2</v>
      </c>
      <c r="C988" t="s">
        <v>541</v>
      </c>
      <c r="D988" t="s">
        <v>10</v>
      </c>
      <c r="E988" t="s">
        <v>321</v>
      </c>
      <c r="F988" t="s">
        <v>158</v>
      </c>
      <c r="G988" t="s">
        <v>13</v>
      </c>
      <c r="I988" s="37">
        <v>746.99</v>
      </c>
      <c r="L988" s="37">
        <v>746.99</v>
      </c>
    </row>
    <row r="989" spans="1:14" x14ac:dyDescent="0.25">
      <c r="A989" s="1">
        <v>46063</v>
      </c>
      <c r="B989">
        <v>2</v>
      </c>
      <c r="C989" t="s">
        <v>541</v>
      </c>
      <c r="D989" t="s">
        <v>10</v>
      </c>
      <c r="E989" t="s">
        <v>326</v>
      </c>
      <c r="F989" t="s">
        <v>52</v>
      </c>
      <c r="G989" t="s">
        <v>13</v>
      </c>
      <c r="I989" s="37">
        <v>1251.99</v>
      </c>
      <c r="L989" s="37">
        <v>1296.99</v>
      </c>
      <c r="N989" s="37">
        <v>1251.99</v>
      </c>
    </row>
    <row r="990" spans="1:14" x14ac:dyDescent="0.25">
      <c r="A990" s="1">
        <v>46063</v>
      </c>
      <c r="B990">
        <v>2</v>
      </c>
      <c r="C990" t="s">
        <v>541</v>
      </c>
      <c r="D990" t="s">
        <v>10</v>
      </c>
      <c r="E990" t="s">
        <v>333</v>
      </c>
      <c r="F990" t="s">
        <v>158</v>
      </c>
      <c r="G990" t="s">
        <v>22</v>
      </c>
      <c r="I990" s="37">
        <v>746.99</v>
      </c>
      <c r="L990" s="37">
        <v>791.99</v>
      </c>
      <c r="N990" s="37">
        <v>746.99</v>
      </c>
    </row>
    <row r="991" spans="1:14" x14ac:dyDescent="0.25">
      <c r="A991" s="1">
        <v>46063</v>
      </c>
      <c r="B991">
        <v>2</v>
      </c>
      <c r="C991" t="s">
        <v>541</v>
      </c>
      <c r="D991" t="s">
        <v>10</v>
      </c>
      <c r="E991" t="s">
        <v>134</v>
      </c>
      <c r="F991" t="s">
        <v>69</v>
      </c>
      <c r="G991" t="s">
        <v>38</v>
      </c>
      <c r="I991" s="37">
        <v>746.99</v>
      </c>
      <c r="K991" s="37">
        <v>1.99</v>
      </c>
      <c r="L991" s="37">
        <v>745</v>
      </c>
      <c r="N991" s="37">
        <v>745</v>
      </c>
    </row>
    <row r="992" spans="1:14" x14ac:dyDescent="0.25">
      <c r="A992" s="1">
        <v>46063</v>
      </c>
      <c r="B992">
        <v>2</v>
      </c>
      <c r="C992" t="s">
        <v>541</v>
      </c>
      <c r="D992" t="s">
        <v>10</v>
      </c>
      <c r="E992" t="s">
        <v>138</v>
      </c>
      <c r="F992" t="s">
        <v>12</v>
      </c>
      <c r="G992" t="s">
        <v>13</v>
      </c>
      <c r="I992" s="37">
        <v>746.99</v>
      </c>
      <c r="J992" s="37">
        <v>29.91</v>
      </c>
      <c r="L992" s="37">
        <v>776.9</v>
      </c>
      <c r="N992" s="37">
        <v>776.9</v>
      </c>
    </row>
    <row r="993" spans="1:14" x14ac:dyDescent="0.25">
      <c r="A993" s="1">
        <v>46063</v>
      </c>
      <c r="B993">
        <v>2</v>
      </c>
      <c r="C993" t="s">
        <v>541</v>
      </c>
      <c r="D993" t="s">
        <v>10</v>
      </c>
      <c r="E993" t="s">
        <v>140</v>
      </c>
      <c r="F993" t="s">
        <v>28</v>
      </c>
      <c r="G993" t="s">
        <v>13</v>
      </c>
      <c r="I993" s="37">
        <v>931.99</v>
      </c>
      <c r="L993" s="37">
        <v>931.99</v>
      </c>
      <c r="N993" s="37">
        <v>931.99</v>
      </c>
    </row>
    <row r="994" spans="1:14" x14ac:dyDescent="0.25">
      <c r="A994" s="1">
        <v>46063</v>
      </c>
      <c r="B994">
        <v>2</v>
      </c>
      <c r="C994" t="s">
        <v>541</v>
      </c>
      <c r="D994" t="s">
        <v>10</v>
      </c>
      <c r="E994" t="s">
        <v>142</v>
      </c>
      <c r="F994" t="s">
        <v>55</v>
      </c>
      <c r="G994" t="s">
        <v>95</v>
      </c>
      <c r="I994" s="37">
        <v>746.99</v>
      </c>
      <c r="J994" s="37">
        <v>3.01</v>
      </c>
      <c r="L994" s="37">
        <v>750</v>
      </c>
      <c r="N994" s="37">
        <v>750</v>
      </c>
    </row>
    <row r="995" spans="1:14" x14ac:dyDescent="0.25">
      <c r="A995" s="1">
        <v>46063</v>
      </c>
      <c r="B995">
        <v>2</v>
      </c>
      <c r="C995" t="s">
        <v>541</v>
      </c>
      <c r="D995" t="s">
        <v>10</v>
      </c>
      <c r="E995" t="s">
        <v>144</v>
      </c>
      <c r="F995" t="s">
        <v>145</v>
      </c>
      <c r="G995" t="s">
        <v>66</v>
      </c>
      <c r="I995" s="37">
        <v>1351.99</v>
      </c>
      <c r="L995" s="37">
        <v>1351.99</v>
      </c>
      <c r="N995" s="37">
        <v>1351.99</v>
      </c>
    </row>
    <row r="996" spans="1:14" x14ac:dyDescent="0.25">
      <c r="A996" s="1">
        <v>46063</v>
      </c>
      <c r="B996">
        <v>2</v>
      </c>
      <c r="C996" t="s">
        <v>541</v>
      </c>
      <c r="D996" t="s">
        <v>10</v>
      </c>
      <c r="E996" t="s">
        <v>147</v>
      </c>
      <c r="F996" t="s">
        <v>33</v>
      </c>
      <c r="G996" t="s">
        <v>13</v>
      </c>
      <c r="I996" s="37">
        <v>851.99</v>
      </c>
      <c r="J996" s="37">
        <v>60.01</v>
      </c>
      <c r="L996" s="37">
        <v>912</v>
      </c>
      <c r="N996" s="37">
        <v>912</v>
      </c>
    </row>
    <row r="997" spans="1:14" x14ac:dyDescent="0.25">
      <c r="A997" s="1">
        <v>46063</v>
      </c>
      <c r="B997">
        <v>2</v>
      </c>
      <c r="C997" t="s">
        <v>541</v>
      </c>
      <c r="D997" t="s">
        <v>10</v>
      </c>
      <c r="E997" t="s">
        <v>149</v>
      </c>
      <c r="F997" t="s">
        <v>33</v>
      </c>
      <c r="G997" t="s">
        <v>13</v>
      </c>
      <c r="I997" s="37">
        <v>851.99</v>
      </c>
      <c r="J997" s="37">
        <v>60.01</v>
      </c>
      <c r="L997" s="37">
        <v>912</v>
      </c>
      <c r="N997" s="37">
        <v>912</v>
      </c>
    </row>
    <row r="998" spans="1:14" x14ac:dyDescent="0.25">
      <c r="A998" s="1">
        <v>46063</v>
      </c>
      <c r="B998">
        <v>2</v>
      </c>
      <c r="C998" t="s">
        <v>541</v>
      </c>
      <c r="D998" t="s">
        <v>10</v>
      </c>
      <c r="E998" t="s">
        <v>97</v>
      </c>
      <c r="F998" t="s">
        <v>33</v>
      </c>
      <c r="G998" t="s">
        <v>13</v>
      </c>
      <c r="I998" s="37">
        <v>851.99</v>
      </c>
      <c r="L998" s="37">
        <v>851.99</v>
      </c>
      <c r="N998" s="37">
        <v>851.99</v>
      </c>
    </row>
    <row r="999" spans="1:14" x14ac:dyDescent="0.25">
      <c r="A999" s="1">
        <v>46063</v>
      </c>
      <c r="B999">
        <v>2</v>
      </c>
      <c r="C999" t="s">
        <v>541</v>
      </c>
      <c r="D999" t="s">
        <v>10</v>
      </c>
      <c r="E999" t="s">
        <v>151</v>
      </c>
      <c r="F999" t="s">
        <v>33</v>
      </c>
      <c r="G999" t="s">
        <v>38</v>
      </c>
      <c r="I999" s="37">
        <v>851.99</v>
      </c>
      <c r="L999" s="37">
        <v>851.99</v>
      </c>
      <c r="N999" s="37">
        <v>851.99</v>
      </c>
    </row>
    <row r="1000" spans="1:14" x14ac:dyDescent="0.25">
      <c r="A1000" s="1">
        <v>46063</v>
      </c>
      <c r="B1000">
        <v>2</v>
      </c>
      <c r="C1000" t="s">
        <v>541</v>
      </c>
      <c r="D1000" t="s">
        <v>10</v>
      </c>
      <c r="E1000" t="s">
        <v>153</v>
      </c>
      <c r="F1000" t="s">
        <v>12</v>
      </c>
      <c r="G1000" t="s">
        <v>13</v>
      </c>
      <c r="I1000" s="37">
        <v>746.99</v>
      </c>
      <c r="J1000" s="37">
        <v>30</v>
      </c>
      <c r="L1000" s="37">
        <v>776.99</v>
      </c>
      <c r="N1000" s="37">
        <v>776.99</v>
      </c>
    </row>
    <row r="1001" spans="1:14" x14ac:dyDescent="0.25">
      <c r="A1001" s="1">
        <v>46063</v>
      </c>
      <c r="B1001">
        <v>2</v>
      </c>
      <c r="C1001" t="s">
        <v>541</v>
      </c>
      <c r="D1001" t="s">
        <v>10</v>
      </c>
      <c r="E1001" t="s">
        <v>155</v>
      </c>
      <c r="F1001" t="s">
        <v>33</v>
      </c>
      <c r="G1001" t="s">
        <v>38</v>
      </c>
      <c r="I1001" s="37">
        <v>851.99</v>
      </c>
      <c r="J1001" s="37">
        <v>60</v>
      </c>
      <c r="L1001" s="37">
        <v>911.99</v>
      </c>
      <c r="N1001" s="37">
        <v>911.99</v>
      </c>
    </row>
    <row r="1002" spans="1:14" x14ac:dyDescent="0.25">
      <c r="A1002" s="1">
        <v>46063</v>
      </c>
      <c r="B1002">
        <v>2</v>
      </c>
      <c r="C1002" t="s">
        <v>541</v>
      </c>
      <c r="D1002" t="s">
        <v>48</v>
      </c>
      <c r="E1002" t="s">
        <v>342</v>
      </c>
      <c r="F1002" t="s">
        <v>41</v>
      </c>
      <c r="G1002" t="s">
        <v>13</v>
      </c>
      <c r="I1002" s="37">
        <v>746.99</v>
      </c>
      <c r="L1002" s="37">
        <v>746.99</v>
      </c>
    </row>
    <row r="1003" spans="1:14" x14ac:dyDescent="0.25">
      <c r="A1003" s="1">
        <v>46063</v>
      </c>
      <c r="B1003">
        <v>2</v>
      </c>
      <c r="C1003" t="s">
        <v>541</v>
      </c>
      <c r="D1003" t="s">
        <v>10</v>
      </c>
      <c r="E1003" t="s">
        <v>157</v>
      </c>
      <c r="F1003" t="s">
        <v>158</v>
      </c>
      <c r="G1003" t="s">
        <v>111</v>
      </c>
      <c r="I1003" s="37">
        <v>746.99</v>
      </c>
      <c r="J1003" s="37">
        <v>60.01</v>
      </c>
      <c r="L1003" s="37">
        <v>807</v>
      </c>
      <c r="N1003" s="37">
        <v>807</v>
      </c>
    </row>
    <row r="1004" spans="1:14" x14ac:dyDescent="0.25">
      <c r="A1004" s="1">
        <v>46063</v>
      </c>
      <c r="B1004">
        <v>2</v>
      </c>
      <c r="C1004" t="s">
        <v>541</v>
      </c>
      <c r="D1004" t="s">
        <v>10</v>
      </c>
      <c r="E1004" t="s">
        <v>106</v>
      </c>
      <c r="F1004" t="s">
        <v>12</v>
      </c>
      <c r="G1004" t="s">
        <v>13</v>
      </c>
      <c r="I1004" s="37">
        <v>746.99</v>
      </c>
      <c r="L1004" s="37">
        <v>746.99</v>
      </c>
      <c r="N1004" s="37">
        <v>746.99</v>
      </c>
    </row>
    <row r="1005" spans="1:14" x14ac:dyDescent="0.25">
      <c r="A1005" s="1">
        <v>46063</v>
      </c>
      <c r="B1005">
        <v>2</v>
      </c>
      <c r="C1005" t="s">
        <v>541</v>
      </c>
      <c r="D1005" t="s">
        <v>10</v>
      </c>
      <c r="E1005" t="s">
        <v>244</v>
      </c>
      <c r="F1005" t="s">
        <v>245</v>
      </c>
      <c r="G1005" t="s">
        <v>13</v>
      </c>
      <c r="I1005" s="37">
        <v>746.99</v>
      </c>
      <c r="J1005" s="37">
        <v>60.01</v>
      </c>
      <c r="L1005" s="37">
        <v>807</v>
      </c>
      <c r="N1005" s="37">
        <v>807</v>
      </c>
    </row>
    <row r="1006" spans="1:14" x14ac:dyDescent="0.25">
      <c r="A1006" s="1">
        <v>46063</v>
      </c>
      <c r="B1006">
        <v>2</v>
      </c>
      <c r="C1006" t="s">
        <v>541</v>
      </c>
      <c r="D1006" t="s">
        <v>10</v>
      </c>
      <c r="E1006" t="s">
        <v>164</v>
      </c>
      <c r="F1006" t="s">
        <v>12</v>
      </c>
      <c r="G1006" t="s">
        <v>13</v>
      </c>
      <c r="I1006" s="37">
        <v>746.99</v>
      </c>
      <c r="J1006" s="37">
        <v>60</v>
      </c>
      <c r="L1006" s="37">
        <v>806.99</v>
      </c>
      <c r="N1006" s="37">
        <v>806.99</v>
      </c>
    </row>
    <row r="1007" spans="1:14" x14ac:dyDescent="0.25">
      <c r="A1007" s="1">
        <v>46063</v>
      </c>
      <c r="B1007">
        <v>2</v>
      </c>
      <c r="C1007" t="s">
        <v>541</v>
      </c>
      <c r="D1007" t="s">
        <v>10</v>
      </c>
      <c r="E1007" t="s">
        <v>166</v>
      </c>
      <c r="F1007" t="s">
        <v>12</v>
      </c>
      <c r="G1007" t="s">
        <v>13</v>
      </c>
      <c r="I1007" s="37">
        <v>746.99</v>
      </c>
      <c r="K1007" s="37">
        <v>1.99</v>
      </c>
      <c r="L1007" s="37">
        <v>745</v>
      </c>
      <c r="N1007" s="37">
        <v>745</v>
      </c>
    </row>
    <row r="1008" spans="1:14" x14ac:dyDescent="0.25">
      <c r="A1008" s="1">
        <v>46063</v>
      </c>
      <c r="B1008">
        <v>2</v>
      </c>
      <c r="C1008" t="s">
        <v>541</v>
      </c>
      <c r="D1008" t="s">
        <v>10</v>
      </c>
      <c r="E1008" t="s">
        <v>177</v>
      </c>
      <c r="F1008" t="s">
        <v>178</v>
      </c>
      <c r="G1008" t="s">
        <v>13</v>
      </c>
      <c r="I1008" s="37">
        <v>851.99</v>
      </c>
      <c r="J1008" s="37">
        <v>30.01</v>
      </c>
      <c r="L1008" s="37">
        <v>882</v>
      </c>
      <c r="N1008" s="37">
        <v>882</v>
      </c>
    </row>
    <row r="1009" spans="1:14" x14ac:dyDescent="0.25">
      <c r="A1009" s="1">
        <v>46063</v>
      </c>
      <c r="B1009">
        <v>2</v>
      </c>
      <c r="C1009" t="s">
        <v>541</v>
      </c>
      <c r="D1009" t="s">
        <v>10</v>
      </c>
      <c r="E1009" t="s">
        <v>182</v>
      </c>
      <c r="F1009" t="s">
        <v>25</v>
      </c>
      <c r="G1009" t="s">
        <v>183</v>
      </c>
      <c r="I1009" s="37">
        <v>1251.99</v>
      </c>
      <c r="K1009" s="37">
        <v>1.99</v>
      </c>
      <c r="L1009" s="37">
        <v>1250</v>
      </c>
      <c r="N1009" s="37">
        <v>1250</v>
      </c>
    </row>
    <row r="1010" spans="1:14" x14ac:dyDescent="0.25">
      <c r="A1010" s="1">
        <v>46063</v>
      </c>
      <c r="B1010">
        <v>2</v>
      </c>
      <c r="C1010" t="s">
        <v>541</v>
      </c>
      <c r="D1010" t="s">
        <v>10</v>
      </c>
      <c r="E1010" t="s">
        <v>707</v>
      </c>
      <c r="F1010" t="s">
        <v>73</v>
      </c>
      <c r="G1010" t="s">
        <v>13</v>
      </c>
      <c r="I1010" s="37">
        <v>2001.99</v>
      </c>
      <c r="L1010" s="37">
        <v>2001.99</v>
      </c>
      <c r="N1010" s="37">
        <v>2001.99</v>
      </c>
    </row>
    <row r="1011" spans="1:14" x14ac:dyDescent="0.25">
      <c r="A1011" s="1">
        <v>46063</v>
      </c>
      <c r="B1011">
        <v>2</v>
      </c>
      <c r="C1011" t="s">
        <v>541</v>
      </c>
      <c r="D1011" t="s">
        <v>10</v>
      </c>
      <c r="E1011" t="s">
        <v>328</v>
      </c>
      <c r="F1011" t="s">
        <v>55</v>
      </c>
      <c r="G1011" t="s">
        <v>13</v>
      </c>
      <c r="I1011" s="37">
        <v>746.99</v>
      </c>
      <c r="K1011" s="37">
        <v>1.99</v>
      </c>
      <c r="L1011" s="37">
        <v>745</v>
      </c>
      <c r="N1011" s="37">
        <v>745</v>
      </c>
    </row>
    <row r="1012" spans="1:14" x14ac:dyDescent="0.25">
      <c r="A1012" s="1">
        <v>46063</v>
      </c>
      <c r="B1012">
        <v>2</v>
      </c>
      <c r="C1012" t="s">
        <v>541</v>
      </c>
      <c r="D1012" t="s">
        <v>10</v>
      </c>
      <c r="E1012" t="s">
        <v>312</v>
      </c>
      <c r="F1012" t="s">
        <v>158</v>
      </c>
      <c r="G1012" t="s">
        <v>104</v>
      </c>
      <c r="I1012" s="37">
        <v>746.99</v>
      </c>
      <c r="L1012" s="37">
        <v>791.99</v>
      </c>
      <c r="N1012" s="37">
        <v>746.99</v>
      </c>
    </row>
    <row r="1013" spans="1:14" x14ac:dyDescent="0.25">
      <c r="A1013" s="1">
        <v>46063</v>
      </c>
      <c r="B1013">
        <v>2</v>
      </c>
      <c r="C1013" t="s">
        <v>541</v>
      </c>
      <c r="D1013" t="s">
        <v>10</v>
      </c>
      <c r="E1013" t="s">
        <v>160</v>
      </c>
      <c r="F1013" t="s">
        <v>158</v>
      </c>
      <c r="G1013" t="s">
        <v>22</v>
      </c>
      <c r="I1013" s="37">
        <v>746.99</v>
      </c>
      <c r="L1013" s="37">
        <v>791.99</v>
      </c>
      <c r="N1013" s="37">
        <v>746.99</v>
      </c>
    </row>
    <row r="1014" spans="1:14" x14ac:dyDescent="0.25">
      <c r="A1014" s="1">
        <v>46063</v>
      </c>
      <c r="B1014">
        <v>2</v>
      </c>
      <c r="C1014" t="s">
        <v>541</v>
      </c>
      <c r="D1014" t="s">
        <v>10</v>
      </c>
      <c r="E1014" t="s">
        <v>257</v>
      </c>
      <c r="F1014" t="s">
        <v>158</v>
      </c>
      <c r="G1014" t="s">
        <v>111</v>
      </c>
      <c r="I1014" s="37">
        <v>746.99</v>
      </c>
      <c r="L1014" s="37">
        <v>791.99</v>
      </c>
      <c r="N1014" s="37">
        <v>746.99</v>
      </c>
    </row>
    <row r="1015" spans="1:14" x14ac:dyDescent="0.25">
      <c r="A1015" s="1">
        <v>46063</v>
      </c>
      <c r="B1015">
        <v>2</v>
      </c>
      <c r="C1015" t="s">
        <v>541</v>
      </c>
      <c r="D1015" t="s">
        <v>10</v>
      </c>
      <c r="E1015" t="s">
        <v>335</v>
      </c>
      <c r="F1015" t="s">
        <v>158</v>
      </c>
      <c r="G1015" t="s">
        <v>104</v>
      </c>
      <c r="I1015" s="37">
        <v>746.99</v>
      </c>
      <c r="L1015" s="37">
        <v>791.99</v>
      </c>
      <c r="N1015" s="37">
        <v>746.99</v>
      </c>
    </row>
    <row r="1016" spans="1:14" x14ac:dyDescent="0.25">
      <c r="A1016" s="1">
        <v>46063</v>
      </c>
      <c r="B1016">
        <v>2</v>
      </c>
      <c r="C1016" t="s">
        <v>541</v>
      </c>
      <c r="D1016" t="s">
        <v>10</v>
      </c>
      <c r="E1016" t="s">
        <v>331</v>
      </c>
      <c r="F1016" t="s">
        <v>12</v>
      </c>
      <c r="G1016" t="s">
        <v>13</v>
      </c>
      <c r="I1016" s="37">
        <v>746.99</v>
      </c>
      <c r="L1016" s="37">
        <v>791.99</v>
      </c>
      <c r="N1016" s="37">
        <v>746.99</v>
      </c>
    </row>
    <row r="1017" spans="1:14" x14ac:dyDescent="0.25">
      <c r="A1017" s="1">
        <v>46063</v>
      </c>
      <c r="B1017">
        <v>2</v>
      </c>
      <c r="C1017" t="s">
        <v>541</v>
      </c>
      <c r="D1017" t="s">
        <v>10</v>
      </c>
      <c r="E1017" t="s">
        <v>121</v>
      </c>
      <c r="F1017" t="s">
        <v>52</v>
      </c>
      <c r="G1017" t="s">
        <v>122</v>
      </c>
      <c r="I1017" s="37">
        <v>1251.99</v>
      </c>
      <c r="L1017" s="37">
        <v>1296.99</v>
      </c>
      <c r="N1017" s="37">
        <v>1251.99</v>
      </c>
    </row>
    <row r="1018" spans="1:14" x14ac:dyDescent="0.25">
      <c r="A1018" s="1">
        <v>46063</v>
      </c>
      <c r="B1018">
        <v>2</v>
      </c>
      <c r="C1018" t="s">
        <v>541</v>
      </c>
      <c r="D1018" t="s">
        <v>10</v>
      </c>
      <c r="E1018" t="s">
        <v>185</v>
      </c>
      <c r="F1018" t="s">
        <v>12</v>
      </c>
      <c r="G1018" t="s">
        <v>13</v>
      </c>
      <c r="I1018" s="37">
        <v>746.99</v>
      </c>
      <c r="K1018" s="37">
        <v>0.99</v>
      </c>
      <c r="L1018" s="37">
        <v>746</v>
      </c>
      <c r="N1018" s="37">
        <v>746</v>
      </c>
    </row>
    <row r="1019" spans="1:14" x14ac:dyDescent="0.25">
      <c r="A1019" s="1">
        <v>46063</v>
      </c>
      <c r="B1019">
        <v>2</v>
      </c>
      <c r="C1019" t="s">
        <v>541</v>
      </c>
      <c r="D1019" t="s">
        <v>10</v>
      </c>
      <c r="E1019" t="s">
        <v>187</v>
      </c>
      <c r="F1019" t="s">
        <v>12</v>
      </c>
      <c r="G1019" t="s">
        <v>13</v>
      </c>
      <c r="I1019" s="37">
        <v>746.99</v>
      </c>
      <c r="J1019" s="37">
        <v>0.01</v>
      </c>
      <c r="L1019" s="37">
        <v>747</v>
      </c>
      <c r="N1019" s="37">
        <v>747</v>
      </c>
    </row>
    <row r="1020" spans="1:14" x14ac:dyDescent="0.25">
      <c r="A1020" s="1">
        <v>46063</v>
      </c>
      <c r="B1020">
        <v>2</v>
      </c>
      <c r="C1020" t="s">
        <v>541</v>
      </c>
      <c r="D1020" t="s">
        <v>10</v>
      </c>
      <c r="E1020" t="s">
        <v>308</v>
      </c>
      <c r="F1020" t="s">
        <v>28</v>
      </c>
      <c r="G1020" t="s">
        <v>13</v>
      </c>
      <c r="I1020" s="37">
        <v>931.99</v>
      </c>
      <c r="L1020" s="37">
        <v>931.99</v>
      </c>
      <c r="N1020" s="37">
        <v>931.99</v>
      </c>
    </row>
    <row r="1021" spans="1:14" x14ac:dyDescent="0.25">
      <c r="A1021" s="1">
        <v>46063</v>
      </c>
      <c r="B1021">
        <v>2</v>
      </c>
      <c r="C1021" t="s">
        <v>541</v>
      </c>
      <c r="D1021" t="s">
        <v>10</v>
      </c>
      <c r="E1021" t="s">
        <v>189</v>
      </c>
      <c r="F1021" t="s">
        <v>12</v>
      </c>
      <c r="G1021" t="s">
        <v>13</v>
      </c>
      <c r="I1021" s="37">
        <v>746.99</v>
      </c>
      <c r="K1021" s="37">
        <v>1.99</v>
      </c>
      <c r="L1021" s="37">
        <v>745</v>
      </c>
      <c r="N1021" s="37">
        <v>745</v>
      </c>
    </row>
    <row r="1022" spans="1:14" x14ac:dyDescent="0.25">
      <c r="A1022" s="1">
        <v>46063</v>
      </c>
      <c r="B1022">
        <v>2</v>
      </c>
      <c r="C1022" t="s">
        <v>541</v>
      </c>
      <c r="D1022" t="s">
        <v>10</v>
      </c>
      <c r="E1022" t="s">
        <v>191</v>
      </c>
      <c r="F1022" t="s">
        <v>55</v>
      </c>
      <c r="G1022" t="s">
        <v>13</v>
      </c>
      <c r="I1022" s="37">
        <v>746.99</v>
      </c>
      <c r="K1022" s="37">
        <v>1.99</v>
      </c>
      <c r="L1022" s="37">
        <v>745</v>
      </c>
      <c r="N1022" s="37">
        <v>745</v>
      </c>
    </row>
    <row r="1023" spans="1:14" x14ac:dyDescent="0.25">
      <c r="A1023" s="1">
        <v>46063</v>
      </c>
      <c r="B1023">
        <v>2</v>
      </c>
      <c r="C1023" t="s">
        <v>541</v>
      </c>
      <c r="D1023" t="s">
        <v>10</v>
      </c>
      <c r="E1023" t="s">
        <v>193</v>
      </c>
      <c r="F1023" t="s">
        <v>12</v>
      </c>
      <c r="G1023" t="s">
        <v>13</v>
      </c>
      <c r="I1023" s="37">
        <v>746.99</v>
      </c>
      <c r="K1023" s="37">
        <v>106.43</v>
      </c>
      <c r="L1023" s="37">
        <v>640.55999999999995</v>
      </c>
      <c r="N1023" s="37">
        <v>531</v>
      </c>
    </row>
    <row r="1024" spans="1:14" x14ac:dyDescent="0.25">
      <c r="A1024" s="1">
        <v>46063</v>
      </c>
      <c r="B1024">
        <v>2</v>
      </c>
      <c r="C1024" t="s">
        <v>541</v>
      </c>
      <c r="D1024" t="s">
        <v>10</v>
      </c>
      <c r="E1024" t="s">
        <v>195</v>
      </c>
      <c r="F1024" t="s">
        <v>196</v>
      </c>
      <c r="G1024" t="s">
        <v>22</v>
      </c>
      <c r="I1024" s="37">
        <v>680</v>
      </c>
      <c r="J1024" s="37">
        <v>30</v>
      </c>
      <c r="L1024" s="37">
        <v>710</v>
      </c>
      <c r="N1024" s="37">
        <v>710</v>
      </c>
    </row>
    <row r="1025" spans="1:14" x14ac:dyDescent="0.25">
      <c r="A1025" s="1">
        <v>46063</v>
      </c>
      <c r="B1025">
        <v>2</v>
      </c>
      <c r="C1025" t="s">
        <v>541</v>
      </c>
      <c r="D1025" t="s">
        <v>10</v>
      </c>
      <c r="E1025" t="s">
        <v>198</v>
      </c>
      <c r="F1025" t="s">
        <v>199</v>
      </c>
      <c r="G1025" t="s">
        <v>38</v>
      </c>
      <c r="I1025" s="37">
        <v>746.99</v>
      </c>
      <c r="J1025" s="37">
        <v>30</v>
      </c>
      <c r="L1025" s="37">
        <v>776.99</v>
      </c>
      <c r="N1025" s="37">
        <v>776.99</v>
      </c>
    </row>
    <row r="1026" spans="1:14" x14ac:dyDescent="0.25">
      <c r="A1026" s="1">
        <v>46063</v>
      </c>
      <c r="B1026">
        <v>2</v>
      </c>
      <c r="C1026" t="s">
        <v>541</v>
      </c>
      <c r="D1026" t="s">
        <v>10</v>
      </c>
      <c r="E1026" t="s">
        <v>201</v>
      </c>
      <c r="F1026" t="s">
        <v>202</v>
      </c>
      <c r="G1026" t="s">
        <v>56</v>
      </c>
      <c r="I1026" s="37">
        <v>831.99</v>
      </c>
      <c r="L1026" s="37">
        <v>831.99</v>
      </c>
      <c r="N1026" s="37">
        <v>831.99</v>
      </c>
    </row>
    <row r="1027" spans="1:14" x14ac:dyDescent="0.25">
      <c r="A1027" s="1">
        <v>46063</v>
      </c>
      <c r="B1027">
        <v>2</v>
      </c>
      <c r="C1027" t="s">
        <v>541</v>
      </c>
      <c r="D1027" t="s">
        <v>10</v>
      </c>
      <c r="E1027" t="s">
        <v>207</v>
      </c>
      <c r="F1027" t="s">
        <v>33</v>
      </c>
      <c r="G1027" t="s">
        <v>13</v>
      </c>
      <c r="I1027" s="37">
        <v>851.99</v>
      </c>
      <c r="L1027" s="37">
        <v>851.99</v>
      </c>
      <c r="N1027" s="37">
        <v>851.99</v>
      </c>
    </row>
    <row r="1028" spans="1:14" x14ac:dyDescent="0.25">
      <c r="A1028" s="1">
        <v>46063</v>
      </c>
      <c r="B1028">
        <v>2</v>
      </c>
      <c r="C1028" t="s">
        <v>541</v>
      </c>
      <c r="D1028" t="s">
        <v>10</v>
      </c>
      <c r="E1028" t="s">
        <v>210</v>
      </c>
      <c r="F1028" t="s">
        <v>211</v>
      </c>
      <c r="G1028" t="s">
        <v>13</v>
      </c>
      <c r="I1028" s="37">
        <v>851.99</v>
      </c>
      <c r="J1028" s="37">
        <v>0.1</v>
      </c>
      <c r="L1028" s="37">
        <v>852.09</v>
      </c>
      <c r="N1028" s="37">
        <v>852</v>
      </c>
    </row>
    <row r="1029" spans="1:14" x14ac:dyDescent="0.25">
      <c r="A1029" s="1">
        <v>46063</v>
      </c>
      <c r="B1029">
        <v>2</v>
      </c>
      <c r="C1029" t="s">
        <v>541</v>
      </c>
      <c r="D1029" t="s">
        <v>10</v>
      </c>
      <c r="E1029" t="s">
        <v>303</v>
      </c>
      <c r="F1029" t="s">
        <v>33</v>
      </c>
      <c r="G1029" t="s">
        <v>13</v>
      </c>
      <c r="I1029" s="37">
        <v>851.99</v>
      </c>
      <c r="L1029" s="37">
        <v>851.99</v>
      </c>
      <c r="N1029" s="37">
        <v>851.99</v>
      </c>
    </row>
    <row r="1030" spans="1:14" x14ac:dyDescent="0.25">
      <c r="A1030" s="1">
        <v>46063</v>
      </c>
      <c r="B1030">
        <v>2</v>
      </c>
      <c r="C1030" t="s">
        <v>541</v>
      </c>
      <c r="D1030" t="s">
        <v>10</v>
      </c>
      <c r="E1030" t="s">
        <v>213</v>
      </c>
      <c r="F1030" t="s">
        <v>214</v>
      </c>
      <c r="G1030" t="s">
        <v>13</v>
      </c>
      <c r="I1030" s="37">
        <v>851.99</v>
      </c>
      <c r="L1030" s="37">
        <v>851.99</v>
      </c>
      <c r="N1030" s="37">
        <v>851.99</v>
      </c>
    </row>
    <row r="1031" spans="1:14" x14ac:dyDescent="0.25">
      <c r="A1031" s="1">
        <v>46063</v>
      </c>
      <c r="B1031">
        <v>2</v>
      </c>
      <c r="C1031" t="s">
        <v>541</v>
      </c>
      <c r="D1031" t="s">
        <v>10</v>
      </c>
      <c r="E1031" t="s">
        <v>291</v>
      </c>
      <c r="F1031" t="s">
        <v>41</v>
      </c>
      <c r="G1031" t="s">
        <v>13</v>
      </c>
      <c r="I1031" s="37">
        <v>746.99</v>
      </c>
      <c r="L1031" s="37">
        <v>746.99</v>
      </c>
      <c r="N1031" s="37">
        <v>746.99</v>
      </c>
    </row>
    <row r="1032" spans="1:14" x14ac:dyDescent="0.25">
      <c r="A1032" s="1">
        <v>46063</v>
      </c>
      <c r="B1032">
        <v>2</v>
      </c>
      <c r="C1032" t="s">
        <v>541</v>
      </c>
      <c r="D1032" t="s">
        <v>10</v>
      </c>
      <c r="E1032" t="s">
        <v>216</v>
      </c>
      <c r="F1032" t="s">
        <v>217</v>
      </c>
      <c r="G1032" t="s">
        <v>13</v>
      </c>
      <c r="I1032" s="37">
        <v>746.99</v>
      </c>
      <c r="L1032" s="37">
        <v>746.99</v>
      </c>
      <c r="N1032" s="37">
        <v>746.99</v>
      </c>
    </row>
    <row r="1033" spans="1:14" x14ac:dyDescent="0.25">
      <c r="A1033" s="1">
        <v>46063</v>
      </c>
      <c r="B1033">
        <v>2</v>
      </c>
      <c r="C1033" t="s">
        <v>541</v>
      </c>
      <c r="D1033" t="s">
        <v>10</v>
      </c>
      <c r="E1033" t="s">
        <v>219</v>
      </c>
      <c r="F1033" t="s">
        <v>12</v>
      </c>
      <c r="G1033" t="s">
        <v>13</v>
      </c>
      <c r="I1033" s="37">
        <v>746.99</v>
      </c>
      <c r="L1033" s="37">
        <v>746.99</v>
      </c>
      <c r="N1033" s="37">
        <v>746.99</v>
      </c>
    </row>
    <row r="1034" spans="1:14" x14ac:dyDescent="0.25">
      <c r="A1034" s="1">
        <v>46063</v>
      </c>
      <c r="B1034">
        <v>2</v>
      </c>
      <c r="C1034" t="s">
        <v>541</v>
      </c>
      <c r="D1034" t="s">
        <v>10</v>
      </c>
      <c r="E1034" t="s">
        <v>221</v>
      </c>
      <c r="F1034" t="s">
        <v>37</v>
      </c>
      <c r="G1034" t="s">
        <v>70</v>
      </c>
      <c r="I1034" s="37">
        <v>746.99</v>
      </c>
      <c r="L1034" s="37">
        <v>746.99</v>
      </c>
      <c r="M1034" s="37">
        <v>199.49</v>
      </c>
      <c r="N1034" s="37">
        <v>746.99</v>
      </c>
    </row>
    <row r="1035" spans="1:14" x14ac:dyDescent="0.25">
      <c r="A1035" s="1">
        <v>46063</v>
      </c>
      <c r="B1035">
        <v>2</v>
      </c>
      <c r="C1035" t="s">
        <v>541</v>
      </c>
      <c r="D1035" t="s">
        <v>10</v>
      </c>
      <c r="E1035" t="s">
        <v>223</v>
      </c>
      <c r="F1035" t="s">
        <v>41</v>
      </c>
      <c r="G1035" t="s">
        <v>22</v>
      </c>
      <c r="I1035" s="37">
        <v>746.99</v>
      </c>
      <c r="L1035" s="37">
        <v>791.99</v>
      </c>
      <c r="N1035" s="37">
        <v>746.99</v>
      </c>
    </row>
    <row r="1036" spans="1:14" x14ac:dyDescent="0.25">
      <c r="A1036" s="1">
        <v>46063</v>
      </c>
      <c r="B1036">
        <v>2</v>
      </c>
      <c r="C1036" t="s">
        <v>541</v>
      </c>
      <c r="D1036" t="s">
        <v>10</v>
      </c>
      <c r="E1036" t="s">
        <v>225</v>
      </c>
      <c r="F1036" t="s">
        <v>217</v>
      </c>
      <c r="G1036" t="s">
        <v>22</v>
      </c>
      <c r="I1036" s="37">
        <v>746.99</v>
      </c>
      <c r="J1036" s="37">
        <v>30</v>
      </c>
      <c r="L1036" s="37">
        <v>776.99</v>
      </c>
    </row>
    <row r="1037" spans="1:14" x14ac:dyDescent="0.25">
      <c r="A1037" s="1">
        <v>46063</v>
      </c>
      <c r="B1037">
        <v>2</v>
      </c>
      <c r="C1037" t="s">
        <v>541</v>
      </c>
      <c r="D1037" t="s">
        <v>336</v>
      </c>
      <c r="E1037" t="s">
        <v>315</v>
      </c>
      <c r="F1037" t="s">
        <v>41</v>
      </c>
      <c r="G1037" t="s">
        <v>111</v>
      </c>
      <c r="I1037" s="37">
        <v>746.99</v>
      </c>
      <c r="L1037" s="37">
        <v>746.99</v>
      </c>
    </row>
    <row r="1038" spans="1:14" x14ac:dyDescent="0.25">
      <c r="A1038" s="1">
        <v>46063</v>
      </c>
      <c r="B1038">
        <v>2</v>
      </c>
      <c r="C1038" t="s">
        <v>541</v>
      </c>
      <c r="D1038" t="s">
        <v>10</v>
      </c>
      <c r="E1038" t="s">
        <v>305</v>
      </c>
      <c r="F1038" t="s">
        <v>41</v>
      </c>
      <c r="G1038" t="s">
        <v>111</v>
      </c>
      <c r="I1038" s="37">
        <v>746.99</v>
      </c>
      <c r="J1038" s="37">
        <v>3.01</v>
      </c>
      <c r="L1038" s="37">
        <v>750</v>
      </c>
      <c r="N1038" s="37">
        <v>750</v>
      </c>
    </row>
    <row r="1039" spans="1:14" x14ac:dyDescent="0.25">
      <c r="A1039" s="1">
        <v>46063</v>
      </c>
      <c r="B1039">
        <v>2</v>
      </c>
      <c r="C1039" t="s">
        <v>541</v>
      </c>
      <c r="D1039" t="s">
        <v>10</v>
      </c>
      <c r="E1039" t="s">
        <v>227</v>
      </c>
      <c r="F1039" t="s">
        <v>12</v>
      </c>
      <c r="G1039" t="s">
        <v>104</v>
      </c>
      <c r="I1039" s="37">
        <v>746</v>
      </c>
      <c r="L1039" s="37">
        <v>746</v>
      </c>
      <c r="N1039" s="37">
        <v>746</v>
      </c>
    </row>
    <row r="1040" spans="1:14" x14ac:dyDescent="0.25">
      <c r="A1040" s="1">
        <v>46063</v>
      </c>
      <c r="B1040">
        <v>2</v>
      </c>
      <c r="C1040" t="s">
        <v>541</v>
      </c>
      <c r="D1040" t="s">
        <v>10</v>
      </c>
      <c r="E1040" t="s">
        <v>229</v>
      </c>
      <c r="F1040" t="s">
        <v>230</v>
      </c>
      <c r="G1040" t="s">
        <v>22</v>
      </c>
      <c r="I1040" s="37">
        <v>746.99</v>
      </c>
      <c r="J1040" s="37">
        <v>30</v>
      </c>
      <c r="L1040" s="37">
        <v>776.99</v>
      </c>
      <c r="N1040" s="37">
        <v>776.99</v>
      </c>
    </row>
    <row r="1041" spans="1:14" x14ac:dyDescent="0.25">
      <c r="A1041" s="1">
        <v>46063</v>
      </c>
      <c r="B1041">
        <v>2</v>
      </c>
      <c r="C1041" t="s">
        <v>541</v>
      </c>
      <c r="D1041" t="s">
        <v>10</v>
      </c>
      <c r="E1041" t="s">
        <v>232</v>
      </c>
      <c r="F1041" t="s">
        <v>158</v>
      </c>
      <c r="G1041" t="s">
        <v>22</v>
      </c>
      <c r="I1041" s="37">
        <v>746.99</v>
      </c>
      <c r="K1041" s="37">
        <v>1.99</v>
      </c>
      <c r="L1041" s="37">
        <v>745</v>
      </c>
      <c r="N1041" s="37">
        <v>745</v>
      </c>
    </row>
    <row r="1042" spans="1:14" x14ac:dyDescent="0.25">
      <c r="A1042" s="1">
        <v>46063</v>
      </c>
      <c r="B1042">
        <v>2</v>
      </c>
      <c r="C1042" t="s">
        <v>541</v>
      </c>
      <c r="D1042" t="s">
        <v>10</v>
      </c>
      <c r="E1042" t="s">
        <v>236</v>
      </c>
      <c r="F1042" t="s">
        <v>158</v>
      </c>
      <c r="G1042" t="s">
        <v>104</v>
      </c>
      <c r="I1042" s="37">
        <v>746.99</v>
      </c>
      <c r="J1042" s="37">
        <v>53.01</v>
      </c>
      <c r="L1042" s="37">
        <v>800</v>
      </c>
      <c r="N1042" s="37">
        <v>800</v>
      </c>
    </row>
    <row r="1043" spans="1:14" x14ac:dyDescent="0.25">
      <c r="A1043" s="1">
        <v>46063</v>
      </c>
      <c r="B1043">
        <v>2</v>
      </c>
      <c r="C1043" t="s">
        <v>541</v>
      </c>
      <c r="D1043" t="s">
        <v>10</v>
      </c>
      <c r="E1043" t="s">
        <v>238</v>
      </c>
      <c r="F1043" t="s">
        <v>158</v>
      </c>
      <c r="G1043" t="s">
        <v>66</v>
      </c>
      <c r="I1043" s="37">
        <v>746.99</v>
      </c>
      <c r="J1043" s="37">
        <v>3.01</v>
      </c>
      <c r="L1043" s="37">
        <v>750</v>
      </c>
      <c r="N1043" s="37">
        <v>750</v>
      </c>
    </row>
    <row r="1044" spans="1:14" x14ac:dyDescent="0.25">
      <c r="A1044" s="1">
        <v>46063</v>
      </c>
      <c r="B1044">
        <v>2</v>
      </c>
      <c r="C1044" t="s">
        <v>541</v>
      </c>
      <c r="D1044" t="s">
        <v>10</v>
      </c>
      <c r="E1044" t="s">
        <v>240</v>
      </c>
      <c r="F1044" t="s">
        <v>158</v>
      </c>
      <c r="G1044" t="s">
        <v>111</v>
      </c>
      <c r="I1044" s="37">
        <v>746.99</v>
      </c>
      <c r="J1044" s="37">
        <v>1</v>
      </c>
      <c r="L1044" s="37">
        <v>747.99</v>
      </c>
      <c r="N1044" s="37">
        <v>747.99</v>
      </c>
    </row>
    <row r="1045" spans="1:14" x14ac:dyDescent="0.25">
      <c r="A1045" s="1">
        <v>46063</v>
      </c>
      <c r="B1045">
        <v>2</v>
      </c>
      <c r="C1045" t="s">
        <v>541</v>
      </c>
      <c r="D1045" t="s">
        <v>10</v>
      </c>
      <c r="E1045" t="s">
        <v>242</v>
      </c>
      <c r="F1045" t="s">
        <v>217</v>
      </c>
      <c r="G1045" t="s">
        <v>13</v>
      </c>
      <c r="I1045" s="37">
        <v>745</v>
      </c>
      <c r="J1045" s="37">
        <v>35</v>
      </c>
      <c r="L1045" s="37">
        <v>780</v>
      </c>
      <c r="N1045" s="37">
        <v>780</v>
      </c>
    </row>
    <row r="1046" spans="1:14" x14ac:dyDescent="0.25">
      <c r="A1046" s="1">
        <v>46063</v>
      </c>
      <c r="B1046">
        <v>2</v>
      </c>
      <c r="C1046" t="s">
        <v>541</v>
      </c>
      <c r="D1046" t="s">
        <v>10</v>
      </c>
      <c r="E1046" t="s">
        <v>247</v>
      </c>
      <c r="F1046" t="s">
        <v>12</v>
      </c>
      <c r="G1046" t="s">
        <v>104</v>
      </c>
      <c r="I1046" s="37">
        <v>746.99</v>
      </c>
      <c r="K1046" s="37">
        <v>0.99</v>
      </c>
      <c r="L1046" s="37">
        <v>746</v>
      </c>
      <c r="N1046" s="37">
        <v>746</v>
      </c>
    </row>
    <row r="1047" spans="1:14" x14ac:dyDescent="0.25">
      <c r="A1047" s="1">
        <v>46063</v>
      </c>
      <c r="B1047">
        <v>2</v>
      </c>
      <c r="C1047" t="s">
        <v>541</v>
      </c>
      <c r="D1047" t="s">
        <v>336</v>
      </c>
      <c r="E1047" t="s">
        <v>248</v>
      </c>
      <c r="F1047" t="s">
        <v>12</v>
      </c>
      <c r="G1047" t="s">
        <v>13</v>
      </c>
      <c r="I1047" s="37">
        <v>746.99</v>
      </c>
      <c r="L1047" s="37">
        <v>746.99</v>
      </c>
    </row>
    <row r="1048" spans="1:14" x14ac:dyDescent="0.25">
      <c r="A1048" s="1">
        <v>46063</v>
      </c>
      <c r="B1048">
        <v>2</v>
      </c>
      <c r="C1048" t="s">
        <v>541</v>
      </c>
      <c r="D1048" t="s">
        <v>10</v>
      </c>
      <c r="E1048" t="s">
        <v>252</v>
      </c>
      <c r="F1048" t="s">
        <v>158</v>
      </c>
      <c r="G1048" t="s">
        <v>22</v>
      </c>
      <c r="I1048" s="37">
        <v>746.99</v>
      </c>
      <c r="L1048" s="37">
        <v>746.99</v>
      </c>
      <c r="N1048" s="37">
        <v>746.99</v>
      </c>
    </row>
    <row r="1049" spans="1:14" x14ac:dyDescent="0.25">
      <c r="A1049" s="1">
        <v>46063</v>
      </c>
      <c r="B1049">
        <v>2</v>
      </c>
      <c r="C1049" t="s">
        <v>541</v>
      </c>
      <c r="D1049" t="s">
        <v>10</v>
      </c>
      <c r="E1049" t="s">
        <v>254</v>
      </c>
      <c r="F1049" t="s">
        <v>255</v>
      </c>
      <c r="G1049" t="s">
        <v>66</v>
      </c>
      <c r="I1049" s="37">
        <v>851.99</v>
      </c>
      <c r="K1049" s="37">
        <v>1.99</v>
      </c>
      <c r="L1049" s="37">
        <v>850</v>
      </c>
      <c r="N1049" s="37">
        <v>850</v>
      </c>
    </row>
    <row r="1050" spans="1:14" x14ac:dyDescent="0.25">
      <c r="A1050" s="1">
        <v>46063</v>
      </c>
      <c r="B1050">
        <v>2</v>
      </c>
      <c r="C1050" t="s">
        <v>541</v>
      </c>
      <c r="D1050" t="s">
        <v>10</v>
      </c>
      <c r="E1050" t="s">
        <v>329</v>
      </c>
      <c r="F1050" t="s">
        <v>158</v>
      </c>
      <c r="G1050" t="s">
        <v>104</v>
      </c>
      <c r="I1050" s="37">
        <v>746.99</v>
      </c>
      <c r="J1050" s="37">
        <v>0.01</v>
      </c>
      <c r="L1050" s="37">
        <v>747</v>
      </c>
      <c r="N1050" s="37">
        <v>747</v>
      </c>
    </row>
    <row r="1051" spans="1:14" x14ac:dyDescent="0.25">
      <c r="A1051" s="1">
        <v>46063</v>
      </c>
      <c r="B1051">
        <v>2</v>
      </c>
      <c r="C1051" t="s">
        <v>541</v>
      </c>
      <c r="D1051" t="s">
        <v>10</v>
      </c>
      <c r="E1051" t="s">
        <v>259</v>
      </c>
      <c r="F1051" t="s">
        <v>260</v>
      </c>
      <c r="G1051" t="s">
        <v>261</v>
      </c>
      <c r="I1051" s="37">
        <v>881.99</v>
      </c>
      <c r="L1051" s="37">
        <v>881.99</v>
      </c>
      <c r="M1051" s="37">
        <v>700</v>
      </c>
      <c r="N1051" s="37">
        <v>881.99</v>
      </c>
    </row>
    <row r="1052" spans="1:14" x14ac:dyDescent="0.25">
      <c r="A1052" s="1">
        <v>46063</v>
      </c>
      <c r="B1052">
        <v>2</v>
      </c>
      <c r="C1052" t="s">
        <v>541</v>
      </c>
      <c r="D1052" t="s">
        <v>10</v>
      </c>
      <c r="E1052" t="s">
        <v>263</v>
      </c>
      <c r="F1052" t="s">
        <v>264</v>
      </c>
      <c r="G1052" t="s">
        <v>66</v>
      </c>
      <c r="I1052" s="37">
        <v>746.99</v>
      </c>
      <c r="L1052" s="37">
        <v>791.99</v>
      </c>
      <c r="N1052" s="37">
        <v>746.99</v>
      </c>
    </row>
    <row r="1053" spans="1:14" x14ac:dyDescent="0.25">
      <c r="A1053" s="1">
        <v>46063</v>
      </c>
      <c r="B1053">
        <v>2</v>
      </c>
      <c r="C1053" t="s">
        <v>541</v>
      </c>
      <c r="D1053" t="s">
        <v>10</v>
      </c>
      <c r="E1053" t="s">
        <v>266</v>
      </c>
      <c r="F1053" t="s">
        <v>55</v>
      </c>
      <c r="G1053" t="s">
        <v>13</v>
      </c>
      <c r="I1053" s="37">
        <v>746.99</v>
      </c>
      <c r="K1053" s="37">
        <v>213.57</v>
      </c>
      <c r="L1053" s="37">
        <v>533.41999999999996</v>
      </c>
      <c r="N1053" s="37">
        <v>533.41999999999996</v>
      </c>
    </row>
    <row r="1054" spans="1:14" x14ac:dyDescent="0.25">
      <c r="A1054" s="1">
        <v>46063</v>
      </c>
      <c r="B1054">
        <v>2</v>
      </c>
      <c r="C1054" t="s">
        <v>541</v>
      </c>
      <c r="D1054" t="s">
        <v>336</v>
      </c>
      <c r="E1054" t="s">
        <v>268</v>
      </c>
      <c r="F1054" t="s">
        <v>52</v>
      </c>
      <c r="G1054" t="s">
        <v>77</v>
      </c>
      <c r="I1054" s="37">
        <v>1251.99</v>
      </c>
      <c r="L1054" s="37">
        <v>1251.99</v>
      </c>
    </row>
    <row r="1055" spans="1:14" x14ac:dyDescent="0.25">
      <c r="A1055" s="1">
        <v>46063</v>
      </c>
      <c r="B1055">
        <v>2</v>
      </c>
      <c r="C1055" t="s">
        <v>541</v>
      </c>
      <c r="D1055" t="s">
        <v>10</v>
      </c>
      <c r="E1055" t="s">
        <v>270</v>
      </c>
      <c r="F1055" t="s">
        <v>12</v>
      </c>
      <c r="G1055" t="s">
        <v>13</v>
      </c>
      <c r="I1055" s="37">
        <v>746.99</v>
      </c>
      <c r="L1055" s="37">
        <v>746.99</v>
      </c>
      <c r="N1055" s="37">
        <v>746.99</v>
      </c>
    </row>
    <row r="1056" spans="1:14" x14ac:dyDescent="0.25">
      <c r="A1056" s="1">
        <v>46063</v>
      </c>
      <c r="B1056">
        <v>2</v>
      </c>
      <c r="C1056" t="s">
        <v>541</v>
      </c>
      <c r="D1056" t="s">
        <v>10</v>
      </c>
      <c r="E1056" t="s">
        <v>272</v>
      </c>
      <c r="F1056" t="s">
        <v>37</v>
      </c>
      <c r="G1056" t="s">
        <v>38</v>
      </c>
      <c r="I1056" s="37">
        <v>746.99</v>
      </c>
      <c r="J1056" s="37">
        <v>29.43</v>
      </c>
      <c r="K1056" s="37">
        <v>213.42</v>
      </c>
      <c r="L1056" s="37">
        <v>563</v>
      </c>
      <c r="N1056" s="37">
        <v>563</v>
      </c>
    </row>
    <row r="1057" spans="1:14" x14ac:dyDescent="0.25">
      <c r="A1057" s="1">
        <v>46063</v>
      </c>
      <c r="B1057">
        <v>2</v>
      </c>
      <c r="C1057" t="s">
        <v>541</v>
      </c>
      <c r="D1057" t="s">
        <v>10</v>
      </c>
      <c r="E1057" t="s">
        <v>173</v>
      </c>
      <c r="F1057" t="s">
        <v>52</v>
      </c>
      <c r="G1057" t="s">
        <v>77</v>
      </c>
      <c r="I1057" s="37">
        <v>1251.99</v>
      </c>
      <c r="K1057" s="37">
        <v>1.99</v>
      </c>
      <c r="L1057" s="37">
        <v>1250</v>
      </c>
      <c r="N1057" s="37">
        <v>1250</v>
      </c>
    </row>
    <row r="1058" spans="1:14" x14ac:dyDescent="0.25">
      <c r="A1058" s="1">
        <v>46063</v>
      </c>
      <c r="B1058">
        <v>2</v>
      </c>
      <c r="C1058" t="s">
        <v>541</v>
      </c>
      <c r="D1058" t="s">
        <v>10</v>
      </c>
      <c r="E1058" t="s">
        <v>274</v>
      </c>
      <c r="F1058" t="s">
        <v>52</v>
      </c>
      <c r="G1058" t="s">
        <v>77</v>
      </c>
      <c r="I1058" s="37">
        <v>1251.99</v>
      </c>
      <c r="J1058" s="37">
        <v>90.01</v>
      </c>
      <c r="L1058" s="37">
        <v>1342</v>
      </c>
      <c r="N1058" s="37">
        <v>1342</v>
      </c>
    </row>
    <row r="1059" spans="1:14" x14ac:dyDescent="0.25">
      <c r="A1059" s="1">
        <v>46063</v>
      </c>
      <c r="B1059">
        <v>2</v>
      </c>
      <c r="C1059" t="s">
        <v>541</v>
      </c>
      <c r="D1059" t="s">
        <v>10</v>
      </c>
      <c r="E1059" t="s">
        <v>276</v>
      </c>
      <c r="F1059" t="s">
        <v>277</v>
      </c>
      <c r="G1059" t="s">
        <v>13</v>
      </c>
      <c r="I1059" s="37">
        <v>746.99</v>
      </c>
      <c r="J1059" s="37">
        <v>3.01</v>
      </c>
      <c r="L1059" s="37">
        <v>750</v>
      </c>
      <c r="N1059" s="37">
        <v>750</v>
      </c>
    </row>
    <row r="1060" spans="1:14" x14ac:dyDescent="0.25">
      <c r="A1060" s="1">
        <v>46063</v>
      </c>
      <c r="B1060">
        <v>2</v>
      </c>
      <c r="C1060" t="s">
        <v>541</v>
      </c>
      <c r="D1060" t="s">
        <v>10</v>
      </c>
      <c r="E1060" t="s">
        <v>279</v>
      </c>
      <c r="F1060" t="s">
        <v>55</v>
      </c>
      <c r="G1060" t="s">
        <v>56</v>
      </c>
      <c r="I1060" s="37">
        <v>746.99</v>
      </c>
      <c r="K1060" s="37">
        <v>0.09</v>
      </c>
      <c r="L1060" s="37">
        <v>746.9</v>
      </c>
      <c r="N1060" s="37">
        <v>746.9</v>
      </c>
    </row>
    <row r="1061" spans="1:14" x14ac:dyDescent="0.25">
      <c r="A1061" s="1">
        <v>46063</v>
      </c>
      <c r="B1061">
        <v>2</v>
      </c>
      <c r="C1061" t="s">
        <v>541</v>
      </c>
      <c r="D1061" t="s">
        <v>10</v>
      </c>
      <c r="E1061" t="s">
        <v>281</v>
      </c>
      <c r="F1061" t="s">
        <v>55</v>
      </c>
      <c r="G1061" t="s">
        <v>56</v>
      </c>
      <c r="I1061" s="37">
        <v>746.99</v>
      </c>
      <c r="J1061" s="37">
        <v>60</v>
      </c>
      <c r="L1061" s="37">
        <v>806.99</v>
      </c>
      <c r="N1061" s="37">
        <v>806.99</v>
      </c>
    </row>
    <row r="1062" spans="1:14" x14ac:dyDescent="0.25">
      <c r="A1062" s="1">
        <v>46063</v>
      </c>
      <c r="B1062">
        <v>2</v>
      </c>
      <c r="C1062" t="s">
        <v>541</v>
      </c>
      <c r="D1062" t="s">
        <v>10</v>
      </c>
      <c r="E1062" t="s">
        <v>310</v>
      </c>
      <c r="F1062" t="s">
        <v>28</v>
      </c>
      <c r="G1062" t="s">
        <v>13</v>
      </c>
      <c r="I1062" s="37">
        <v>931.99</v>
      </c>
      <c r="L1062" s="37">
        <v>931.99</v>
      </c>
      <c r="N1062" s="37">
        <v>931.99</v>
      </c>
    </row>
    <row r="1063" spans="1:14" x14ac:dyDescent="0.25">
      <c r="A1063" s="1">
        <v>46063</v>
      </c>
      <c r="B1063">
        <v>2</v>
      </c>
      <c r="C1063" t="s">
        <v>541</v>
      </c>
      <c r="D1063" t="s">
        <v>10</v>
      </c>
      <c r="E1063" t="s">
        <v>283</v>
      </c>
      <c r="F1063" t="s">
        <v>76</v>
      </c>
      <c r="G1063" t="s">
        <v>77</v>
      </c>
      <c r="I1063" s="37">
        <v>1451.99</v>
      </c>
      <c r="L1063" s="37">
        <v>1451.99</v>
      </c>
      <c r="N1063" s="37">
        <v>1451.99</v>
      </c>
    </row>
    <row r="1064" spans="1:14" x14ac:dyDescent="0.25">
      <c r="A1064" s="1">
        <v>46063</v>
      </c>
      <c r="B1064">
        <v>2</v>
      </c>
      <c r="C1064" t="s">
        <v>541</v>
      </c>
      <c r="D1064" t="s">
        <v>10</v>
      </c>
      <c r="E1064" t="s">
        <v>285</v>
      </c>
      <c r="F1064" t="s">
        <v>76</v>
      </c>
      <c r="G1064" t="s">
        <v>77</v>
      </c>
      <c r="I1064" s="37">
        <v>1451.99</v>
      </c>
      <c r="J1064" s="37">
        <v>89</v>
      </c>
      <c r="L1064" s="37">
        <v>1540.99</v>
      </c>
      <c r="N1064" s="37">
        <v>1540.99</v>
      </c>
    </row>
    <row r="1065" spans="1:14" x14ac:dyDescent="0.25">
      <c r="A1065" s="1">
        <v>46063</v>
      </c>
      <c r="B1065">
        <v>2</v>
      </c>
      <c r="C1065" t="s">
        <v>541</v>
      </c>
      <c r="D1065" t="s">
        <v>10</v>
      </c>
      <c r="E1065" t="s">
        <v>293</v>
      </c>
      <c r="F1065" t="s">
        <v>294</v>
      </c>
      <c r="G1065" t="s">
        <v>13</v>
      </c>
      <c r="I1065" s="37">
        <v>746.99</v>
      </c>
      <c r="K1065" s="37">
        <v>213.42</v>
      </c>
      <c r="L1065" s="37">
        <v>533.57000000000005</v>
      </c>
      <c r="N1065" s="37">
        <v>533.57000000000005</v>
      </c>
    </row>
    <row r="1066" spans="1:14" x14ac:dyDescent="0.25">
      <c r="A1066" s="1">
        <v>46063</v>
      </c>
      <c r="B1066">
        <v>2</v>
      </c>
      <c r="C1066" t="s">
        <v>541</v>
      </c>
      <c r="D1066" t="s">
        <v>10</v>
      </c>
      <c r="E1066" t="s">
        <v>295</v>
      </c>
      <c r="F1066" t="s">
        <v>33</v>
      </c>
      <c r="G1066" t="s">
        <v>13</v>
      </c>
      <c r="I1066" s="37">
        <v>851.99</v>
      </c>
      <c r="L1066" s="37">
        <v>851.99</v>
      </c>
      <c r="N1066" s="37">
        <v>851.99</v>
      </c>
    </row>
    <row r="1067" spans="1:14" x14ac:dyDescent="0.25">
      <c r="A1067" s="1">
        <v>46063</v>
      </c>
      <c r="B1067">
        <v>2</v>
      </c>
      <c r="C1067" t="s">
        <v>541</v>
      </c>
      <c r="D1067" t="s">
        <v>10</v>
      </c>
      <c r="E1067" t="s">
        <v>108</v>
      </c>
      <c r="F1067" t="s">
        <v>55</v>
      </c>
      <c r="G1067" t="s">
        <v>104</v>
      </c>
      <c r="I1067" s="37">
        <v>746.99</v>
      </c>
      <c r="L1067" s="37">
        <v>1291.99</v>
      </c>
      <c r="N1067" s="37">
        <v>746.99</v>
      </c>
    </row>
    <row r="1068" spans="1:14" x14ac:dyDescent="0.25">
      <c r="A1068" s="1">
        <v>46063</v>
      </c>
      <c r="B1068">
        <v>2</v>
      </c>
      <c r="C1068" t="s">
        <v>541</v>
      </c>
      <c r="D1068" t="s">
        <v>10</v>
      </c>
      <c r="E1068" t="s">
        <v>100</v>
      </c>
      <c r="F1068" t="s">
        <v>101</v>
      </c>
      <c r="G1068" t="s">
        <v>13</v>
      </c>
      <c r="I1068" s="37">
        <v>1351.99</v>
      </c>
      <c r="L1068" s="37">
        <v>1500</v>
      </c>
      <c r="N1068" s="37">
        <v>1351.99</v>
      </c>
    </row>
    <row r="1069" spans="1:14" x14ac:dyDescent="0.25">
      <c r="A1069" s="1">
        <v>46063</v>
      </c>
      <c r="B1069">
        <v>2</v>
      </c>
      <c r="C1069" t="s">
        <v>541</v>
      </c>
      <c r="D1069" t="s">
        <v>10</v>
      </c>
      <c r="E1069" t="s">
        <v>204</v>
      </c>
      <c r="F1069" t="s">
        <v>12</v>
      </c>
      <c r="G1069" t="s">
        <v>13</v>
      </c>
      <c r="I1069" s="37">
        <v>746.99</v>
      </c>
      <c r="L1069" s="37">
        <v>791.99</v>
      </c>
      <c r="N1069" s="37">
        <v>746.99</v>
      </c>
    </row>
    <row r="1070" spans="1:14" x14ac:dyDescent="0.25">
      <c r="A1070" s="1">
        <v>46063</v>
      </c>
      <c r="B1070">
        <v>2</v>
      </c>
      <c r="C1070" t="s">
        <v>541</v>
      </c>
      <c r="D1070" t="s">
        <v>10</v>
      </c>
      <c r="E1070" t="s">
        <v>209</v>
      </c>
      <c r="F1070" t="s">
        <v>33</v>
      </c>
      <c r="G1070" t="s">
        <v>13</v>
      </c>
      <c r="I1070" s="37">
        <v>851.99</v>
      </c>
      <c r="L1070" s="37">
        <v>896.99</v>
      </c>
      <c r="N1070" s="37">
        <v>851.99</v>
      </c>
    </row>
    <row r="1071" spans="1:14" x14ac:dyDescent="0.25">
      <c r="A1071" s="1">
        <v>46063</v>
      </c>
      <c r="B1071">
        <v>2</v>
      </c>
      <c r="C1071" t="s">
        <v>541</v>
      </c>
      <c r="D1071" t="s">
        <v>10</v>
      </c>
      <c r="E1071" t="s">
        <v>341</v>
      </c>
      <c r="F1071" t="s">
        <v>52</v>
      </c>
      <c r="G1071" t="s">
        <v>183</v>
      </c>
      <c r="I1071" s="37">
        <v>1251.99</v>
      </c>
      <c r="L1071" s="37">
        <v>1296.99</v>
      </c>
      <c r="N1071" s="37">
        <v>1251.99</v>
      </c>
    </row>
    <row r="1072" spans="1:14" x14ac:dyDescent="0.25">
      <c r="A1072" s="1">
        <v>46063</v>
      </c>
      <c r="B1072">
        <v>2</v>
      </c>
      <c r="C1072" t="s">
        <v>542</v>
      </c>
      <c r="D1072" t="s">
        <v>48</v>
      </c>
      <c r="E1072" t="s">
        <v>49</v>
      </c>
      <c r="F1072" t="s">
        <v>12</v>
      </c>
      <c r="G1072" t="s">
        <v>13</v>
      </c>
      <c r="I1072" s="37">
        <v>746.99</v>
      </c>
      <c r="L1072" s="37">
        <v>746.99</v>
      </c>
    </row>
    <row r="1073" spans="1:14" x14ac:dyDescent="0.25">
      <c r="A1073" s="1">
        <v>46063</v>
      </c>
      <c r="B1073">
        <v>2</v>
      </c>
      <c r="C1073" t="s">
        <v>542</v>
      </c>
      <c r="D1073" t="s">
        <v>99</v>
      </c>
      <c r="E1073" t="s">
        <v>168</v>
      </c>
      <c r="F1073" t="s">
        <v>69</v>
      </c>
      <c r="G1073" t="s">
        <v>169</v>
      </c>
      <c r="I1073" s="37">
        <v>746.99</v>
      </c>
      <c r="L1073" s="37">
        <v>746.99</v>
      </c>
    </row>
    <row r="1074" spans="1:14" x14ac:dyDescent="0.25">
      <c r="A1074" s="1">
        <v>46063</v>
      </c>
      <c r="B1074">
        <v>2</v>
      </c>
      <c r="C1074" t="s">
        <v>542</v>
      </c>
      <c r="D1074" t="s">
        <v>99</v>
      </c>
      <c r="E1074" t="s">
        <v>250</v>
      </c>
      <c r="F1074" t="s">
        <v>12</v>
      </c>
      <c r="G1074" t="s">
        <v>13</v>
      </c>
      <c r="I1074" s="37">
        <v>746.99</v>
      </c>
      <c r="L1074" s="37">
        <v>746.99</v>
      </c>
    </row>
    <row r="1075" spans="1:14" x14ac:dyDescent="0.25">
      <c r="A1075" s="1">
        <v>46063</v>
      </c>
      <c r="B1075">
        <v>2</v>
      </c>
      <c r="C1075" t="s">
        <v>542</v>
      </c>
      <c r="D1075" t="s">
        <v>336</v>
      </c>
      <c r="E1075" t="s">
        <v>205</v>
      </c>
      <c r="F1075" t="s">
        <v>33</v>
      </c>
      <c r="G1075" t="s">
        <v>13</v>
      </c>
      <c r="I1075" s="37">
        <v>851.99</v>
      </c>
      <c r="L1075" s="37">
        <v>851.99</v>
      </c>
    </row>
    <row r="1076" spans="1:14" x14ac:dyDescent="0.25">
      <c r="A1076" s="1">
        <v>46063</v>
      </c>
      <c r="B1076">
        <v>2</v>
      </c>
      <c r="C1076" t="s">
        <v>541</v>
      </c>
      <c r="D1076" t="s">
        <v>10</v>
      </c>
      <c r="E1076" t="s">
        <v>175</v>
      </c>
      <c r="F1076" t="s">
        <v>52</v>
      </c>
      <c r="G1076" t="s">
        <v>77</v>
      </c>
      <c r="I1076" s="37">
        <v>1251.99</v>
      </c>
      <c r="L1076" s="37">
        <v>1296.99</v>
      </c>
      <c r="N1076" s="37">
        <v>1251.99</v>
      </c>
    </row>
    <row r="1077" spans="1:14" x14ac:dyDescent="0.25">
      <c r="A1077" s="1">
        <v>46063</v>
      </c>
      <c r="B1077">
        <v>2</v>
      </c>
      <c r="C1077" t="s">
        <v>542</v>
      </c>
      <c r="D1077" t="s">
        <v>99</v>
      </c>
      <c r="E1077" t="s">
        <v>297</v>
      </c>
      <c r="F1077" t="s">
        <v>298</v>
      </c>
      <c r="G1077" t="s">
        <v>299</v>
      </c>
      <c r="I1077" s="37">
        <v>746.99</v>
      </c>
      <c r="L1077" s="37">
        <v>746.99</v>
      </c>
    </row>
    <row r="1078" spans="1:14" x14ac:dyDescent="0.25">
      <c r="A1078" s="1">
        <v>46063</v>
      </c>
      <c r="B1078">
        <v>2</v>
      </c>
      <c r="C1078" t="s">
        <v>542</v>
      </c>
      <c r="D1078" t="s">
        <v>99</v>
      </c>
      <c r="E1078" t="s">
        <v>313</v>
      </c>
      <c r="F1078" t="s">
        <v>52</v>
      </c>
      <c r="G1078" t="s">
        <v>314</v>
      </c>
      <c r="I1078" s="37">
        <v>1251.99</v>
      </c>
      <c r="L1078" s="37">
        <v>1251.99</v>
      </c>
    </row>
    <row r="1079" spans="1:14" x14ac:dyDescent="0.25">
      <c r="A1079" s="1">
        <v>46063</v>
      </c>
      <c r="B1079">
        <v>2</v>
      </c>
      <c r="C1079" t="s">
        <v>542</v>
      </c>
      <c r="D1079" t="s">
        <v>99</v>
      </c>
      <c r="E1079" t="s">
        <v>317</v>
      </c>
      <c r="F1079" t="s">
        <v>101</v>
      </c>
      <c r="G1079" t="s">
        <v>13</v>
      </c>
      <c r="I1079" s="37">
        <v>1351.99</v>
      </c>
      <c r="L1079" s="37">
        <v>1351.99</v>
      </c>
    </row>
    <row r="1080" spans="1:14" x14ac:dyDescent="0.25">
      <c r="A1080" s="1">
        <v>46063</v>
      </c>
      <c r="B1080">
        <v>2</v>
      </c>
      <c r="C1080" t="s">
        <v>542</v>
      </c>
      <c r="D1080" t="s">
        <v>99</v>
      </c>
      <c r="E1080" t="s">
        <v>318</v>
      </c>
      <c r="F1080" t="s">
        <v>12</v>
      </c>
      <c r="G1080" t="s">
        <v>13</v>
      </c>
      <c r="I1080" s="37">
        <v>746.99</v>
      </c>
      <c r="L1080" s="37">
        <v>746.99</v>
      </c>
    </row>
    <row r="1081" spans="1:14" x14ac:dyDescent="0.25">
      <c r="A1081" s="1">
        <v>46063</v>
      </c>
      <c r="B1081">
        <v>2</v>
      </c>
      <c r="C1081" t="s">
        <v>542</v>
      </c>
      <c r="D1081" t="s">
        <v>99</v>
      </c>
      <c r="E1081" t="s">
        <v>319</v>
      </c>
      <c r="F1081" t="s">
        <v>158</v>
      </c>
      <c r="G1081" t="s">
        <v>13</v>
      </c>
      <c r="I1081" s="37">
        <v>746.99</v>
      </c>
      <c r="L1081" s="37">
        <v>746.99</v>
      </c>
    </row>
    <row r="1082" spans="1:14" x14ac:dyDescent="0.25">
      <c r="A1082" s="1">
        <v>46063</v>
      </c>
      <c r="B1082">
        <v>2</v>
      </c>
      <c r="C1082" t="s">
        <v>542</v>
      </c>
      <c r="D1082" t="s">
        <v>99</v>
      </c>
      <c r="E1082" t="s">
        <v>320</v>
      </c>
      <c r="F1082" t="s">
        <v>55</v>
      </c>
      <c r="G1082" t="s">
        <v>13</v>
      </c>
      <c r="I1082" s="37">
        <v>746.99</v>
      </c>
      <c r="L1082" s="37">
        <v>746.99</v>
      </c>
    </row>
    <row r="1083" spans="1:14" x14ac:dyDescent="0.25">
      <c r="A1083" s="1">
        <v>46063</v>
      </c>
      <c r="B1083">
        <v>2</v>
      </c>
      <c r="C1083" t="s">
        <v>542</v>
      </c>
      <c r="D1083" t="s">
        <v>99</v>
      </c>
      <c r="E1083" t="s">
        <v>322</v>
      </c>
      <c r="F1083" t="s">
        <v>158</v>
      </c>
      <c r="G1083" t="s">
        <v>13</v>
      </c>
      <c r="I1083" s="37">
        <v>746.99</v>
      </c>
      <c r="L1083" s="37">
        <v>746.99</v>
      </c>
    </row>
    <row r="1084" spans="1:14" x14ac:dyDescent="0.25">
      <c r="A1084" s="1">
        <v>46063</v>
      </c>
      <c r="B1084">
        <v>2</v>
      </c>
      <c r="C1084" t="s">
        <v>542</v>
      </c>
      <c r="D1084" t="s">
        <v>99</v>
      </c>
      <c r="E1084" t="s">
        <v>323</v>
      </c>
      <c r="F1084" t="s">
        <v>158</v>
      </c>
      <c r="G1084" t="s">
        <v>13</v>
      </c>
      <c r="I1084" s="37">
        <v>746.99</v>
      </c>
      <c r="L1084" s="37">
        <v>746.99</v>
      </c>
    </row>
    <row r="1085" spans="1:14" x14ac:dyDescent="0.25">
      <c r="A1085" s="1">
        <v>46063</v>
      </c>
      <c r="B1085">
        <v>2</v>
      </c>
      <c r="C1085" t="s">
        <v>542</v>
      </c>
      <c r="D1085" t="s">
        <v>99</v>
      </c>
      <c r="E1085" t="s">
        <v>324</v>
      </c>
      <c r="F1085" t="s">
        <v>158</v>
      </c>
      <c r="G1085" t="s">
        <v>13</v>
      </c>
      <c r="I1085" s="37">
        <v>746</v>
      </c>
      <c r="L1085" s="37">
        <v>746</v>
      </c>
    </row>
    <row r="1086" spans="1:14" x14ac:dyDescent="0.25">
      <c r="A1086" s="1">
        <v>46063</v>
      </c>
      <c r="B1086">
        <v>2</v>
      </c>
      <c r="C1086" t="s">
        <v>542</v>
      </c>
      <c r="D1086" t="s">
        <v>99</v>
      </c>
      <c r="E1086" t="s">
        <v>325</v>
      </c>
      <c r="F1086" t="s">
        <v>158</v>
      </c>
      <c r="G1086" t="s">
        <v>13</v>
      </c>
      <c r="I1086" s="37">
        <v>746.99</v>
      </c>
      <c r="L1086" s="37">
        <v>746.99</v>
      </c>
    </row>
    <row r="1087" spans="1:14" x14ac:dyDescent="0.25">
      <c r="A1087" s="1">
        <v>46063</v>
      </c>
      <c r="B1087">
        <v>2</v>
      </c>
      <c r="C1087" t="s">
        <v>542</v>
      </c>
      <c r="D1087" t="s">
        <v>99</v>
      </c>
      <c r="E1087" t="s">
        <v>332</v>
      </c>
      <c r="F1087" t="s">
        <v>52</v>
      </c>
      <c r="G1087" t="s">
        <v>77</v>
      </c>
      <c r="I1087" s="37">
        <v>1251.99</v>
      </c>
      <c r="L1087" s="37">
        <v>1251.99</v>
      </c>
    </row>
    <row r="1088" spans="1:14" x14ac:dyDescent="0.25">
      <c r="A1088" s="1">
        <v>46063</v>
      </c>
      <c r="B1088">
        <v>2</v>
      </c>
      <c r="C1088" t="s">
        <v>542</v>
      </c>
      <c r="D1088" t="s">
        <v>99</v>
      </c>
      <c r="E1088" t="s">
        <v>334</v>
      </c>
      <c r="F1088" t="s">
        <v>28</v>
      </c>
      <c r="G1088" t="s">
        <v>13</v>
      </c>
      <c r="I1088" s="37">
        <v>931.99</v>
      </c>
      <c r="L1088" s="37">
        <v>931.99</v>
      </c>
    </row>
    <row r="1089" spans="1:14" x14ac:dyDescent="0.25">
      <c r="A1089" s="1">
        <v>46063</v>
      </c>
      <c r="B1089">
        <v>2</v>
      </c>
      <c r="C1089" t="s">
        <v>542</v>
      </c>
      <c r="D1089" t="s">
        <v>336</v>
      </c>
      <c r="E1089" t="s">
        <v>337</v>
      </c>
      <c r="F1089" t="s">
        <v>41</v>
      </c>
      <c r="G1089" t="s">
        <v>13</v>
      </c>
      <c r="I1089" s="37">
        <v>746.99</v>
      </c>
      <c r="L1089" s="37">
        <v>746.99</v>
      </c>
    </row>
    <row r="1090" spans="1:14" x14ac:dyDescent="0.25">
      <c r="A1090" s="1">
        <v>46063</v>
      </c>
      <c r="B1090">
        <v>2</v>
      </c>
      <c r="C1090" t="s">
        <v>542</v>
      </c>
      <c r="D1090" t="s">
        <v>336</v>
      </c>
      <c r="E1090" t="s">
        <v>338</v>
      </c>
      <c r="F1090" t="s">
        <v>55</v>
      </c>
      <c r="G1090" t="s">
        <v>13</v>
      </c>
      <c r="I1090" s="37">
        <v>746.99</v>
      </c>
      <c r="L1090" s="37">
        <v>746.99</v>
      </c>
    </row>
    <row r="1091" spans="1:14" x14ac:dyDescent="0.25">
      <c r="A1091" s="1">
        <v>46063</v>
      </c>
      <c r="B1091">
        <v>2</v>
      </c>
      <c r="C1091" t="s">
        <v>542</v>
      </c>
      <c r="D1091" t="s">
        <v>336</v>
      </c>
      <c r="E1091" t="s">
        <v>339</v>
      </c>
      <c r="F1091" t="s">
        <v>55</v>
      </c>
      <c r="G1091" t="s">
        <v>340</v>
      </c>
      <c r="I1091" s="37">
        <v>746.99</v>
      </c>
      <c r="L1091" s="37">
        <v>746.99</v>
      </c>
    </row>
    <row r="1092" spans="1:14" x14ac:dyDescent="0.25">
      <c r="A1092" s="1">
        <v>46063</v>
      </c>
      <c r="B1092">
        <v>2</v>
      </c>
      <c r="C1092" t="s">
        <v>542</v>
      </c>
      <c r="D1092" t="s">
        <v>99</v>
      </c>
      <c r="E1092" t="s">
        <v>344</v>
      </c>
      <c r="F1092" t="s">
        <v>116</v>
      </c>
      <c r="G1092" t="s">
        <v>13</v>
      </c>
      <c r="I1092" s="37">
        <v>746.99</v>
      </c>
      <c r="L1092" s="37">
        <v>746.99</v>
      </c>
    </row>
    <row r="1093" spans="1:14" x14ac:dyDescent="0.25">
      <c r="A1093" s="1">
        <v>46063</v>
      </c>
      <c r="B1093">
        <v>2</v>
      </c>
      <c r="C1093" t="s">
        <v>541</v>
      </c>
      <c r="D1093" t="s">
        <v>10</v>
      </c>
      <c r="E1093" t="s">
        <v>345</v>
      </c>
      <c r="F1093" t="s">
        <v>12</v>
      </c>
      <c r="G1093" t="s">
        <v>346</v>
      </c>
      <c r="I1093" s="37">
        <v>746.99</v>
      </c>
      <c r="K1093" s="37">
        <v>320.14</v>
      </c>
      <c r="L1093" s="37">
        <v>426.85</v>
      </c>
      <c r="N1093" s="37">
        <v>426.85</v>
      </c>
    </row>
    <row r="1094" spans="1:14" x14ac:dyDescent="0.25">
      <c r="A1094" s="1">
        <v>46063</v>
      </c>
      <c r="B1094">
        <v>2</v>
      </c>
      <c r="C1094" t="s">
        <v>541</v>
      </c>
      <c r="D1094" t="s">
        <v>10</v>
      </c>
      <c r="E1094" t="s">
        <v>347</v>
      </c>
      <c r="F1094" t="s">
        <v>348</v>
      </c>
      <c r="G1094" t="s">
        <v>349</v>
      </c>
      <c r="I1094" s="37">
        <v>801.99</v>
      </c>
      <c r="L1094" s="37">
        <v>801.99</v>
      </c>
      <c r="N1094" s="37">
        <v>801.99</v>
      </c>
    </row>
    <row r="1095" spans="1:14" x14ac:dyDescent="0.25">
      <c r="A1095" s="1">
        <v>46063</v>
      </c>
      <c r="B1095">
        <v>2</v>
      </c>
      <c r="C1095" t="s">
        <v>541</v>
      </c>
      <c r="D1095" t="s">
        <v>10</v>
      </c>
      <c r="E1095" t="s">
        <v>350</v>
      </c>
      <c r="F1095" t="s">
        <v>12</v>
      </c>
      <c r="G1095" t="s">
        <v>349</v>
      </c>
      <c r="I1095" s="37">
        <v>801.99</v>
      </c>
      <c r="L1095" s="37">
        <v>801.99</v>
      </c>
      <c r="N1095" s="37">
        <v>801.99</v>
      </c>
    </row>
    <row r="1096" spans="1:14" x14ac:dyDescent="0.25">
      <c r="A1096" s="1">
        <v>46063</v>
      </c>
      <c r="B1096">
        <v>2</v>
      </c>
      <c r="C1096" t="s">
        <v>541</v>
      </c>
      <c r="D1096" t="s">
        <v>10</v>
      </c>
      <c r="E1096" t="s">
        <v>351</v>
      </c>
      <c r="F1096" t="s">
        <v>116</v>
      </c>
      <c r="G1096" t="s">
        <v>346</v>
      </c>
      <c r="I1096" s="37">
        <v>746.99</v>
      </c>
      <c r="L1096" s="37">
        <v>746.99</v>
      </c>
      <c r="N1096" s="37">
        <v>746.99</v>
      </c>
    </row>
    <row r="1097" spans="1:14" x14ac:dyDescent="0.25">
      <c r="A1097" s="1">
        <v>46063</v>
      </c>
      <c r="B1097">
        <v>2</v>
      </c>
      <c r="C1097" t="s">
        <v>541</v>
      </c>
      <c r="D1097" t="s">
        <v>10</v>
      </c>
      <c r="E1097" t="s">
        <v>352</v>
      </c>
      <c r="F1097" t="s">
        <v>158</v>
      </c>
      <c r="G1097" t="s">
        <v>353</v>
      </c>
      <c r="I1097" s="37">
        <v>746.99</v>
      </c>
      <c r="L1097" s="37">
        <v>746.99</v>
      </c>
      <c r="N1097" s="37">
        <v>746.99</v>
      </c>
    </row>
    <row r="1098" spans="1:14" x14ac:dyDescent="0.25">
      <c r="A1098" s="1">
        <v>46063</v>
      </c>
      <c r="B1098">
        <v>2</v>
      </c>
      <c r="C1098" t="s">
        <v>541</v>
      </c>
      <c r="D1098" t="s">
        <v>10</v>
      </c>
      <c r="E1098" t="s">
        <v>354</v>
      </c>
      <c r="F1098" t="s">
        <v>230</v>
      </c>
      <c r="G1098" t="s">
        <v>346</v>
      </c>
      <c r="I1098" s="37">
        <v>746.99</v>
      </c>
      <c r="L1098" s="37">
        <v>746.99</v>
      </c>
      <c r="N1098" s="37">
        <v>746</v>
      </c>
    </row>
    <row r="1099" spans="1:14" x14ac:dyDescent="0.25">
      <c r="A1099" s="1">
        <v>46063</v>
      </c>
      <c r="B1099">
        <v>2</v>
      </c>
      <c r="C1099" t="s">
        <v>541</v>
      </c>
      <c r="D1099" t="s">
        <v>10</v>
      </c>
      <c r="E1099" t="s">
        <v>355</v>
      </c>
      <c r="F1099" t="s">
        <v>158</v>
      </c>
      <c r="G1099" t="s">
        <v>346</v>
      </c>
      <c r="I1099" s="37">
        <v>746.99</v>
      </c>
      <c r="K1099" s="37">
        <v>1.99</v>
      </c>
      <c r="L1099" s="37">
        <v>745</v>
      </c>
      <c r="N1099" s="37">
        <v>745</v>
      </c>
    </row>
    <row r="1100" spans="1:14" x14ac:dyDescent="0.25">
      <c r="A1100" s="1">
        <v>46063</v>
      </c>
      <c r="B1100">
        <v>2</v>
      </c>
      <c r="C1100" t="s">
        <v>541</v>
      </c>
      <c r="D1100" t="s">
        <v>10</v>
      </c>
      <c r="E1100" t="s">
        <v>356</v>
      </c>
      <c r="F1100" t="s">
        <v>158</v>
      </c>
      <c r="G1100" t="s">
        <v>346</v>
      </c>
      <c r="I1100" s="37">
        <v>746.99</v>
      </c>
      <c r="L1100" s="37">
        <v>746.99</v>
      </c>
      <c r="N1100" s="37">
        <v>746.99</v>
      </c>
    </row>
    <row r="1101" spans="1:14" x14ac:dyDescent="0.25">
      <c r="A1101" s="1">
        <v>46063</v>
      </c>
      <c r="B1101">
        <v>2</v>
      </c>
      <c r="C1101" t="s">
        <v>541</v>
      </c>
      <c r="D1101" t="s">
        <v>10</v>
      </c>
      <c r="E1101" t="s">
        <v>374</v>
      </c>
      <c r="F1101" t="s">
        <v>158</v>
      </c>
      <c r="G1101" t="s">
        <v>346</v>
      </c>
      <c r="I1101" s="37">
        <v>746.99</v>
      </c>
      <c r="J1101" s="37">
        <v>60</v>
      </c>
      <c r="L1101" s="37">
        <v>806.99</v>
      </c>
      <c r="N1101" s="37">
        <v>806.99</v>
      </c>
    </row>
    <row r="1102" spans="1:14" x14ac:dyDescent="0.25">
      <c r="A1102" s="1">
        <v>46063</v>
      </c>
      <c r="B1102">
        <v>2</v>
      </c>
      <c r="C1102" t="s">
        <v>541</v>
      </c>
      <c r="D1102" t="s">
        <v>10</v>
      </c>
      <c r="E1102" t="s">
        <v>357</v>
      </c>
      <c r="F1102" t="s">
        <v>55</v>
      </c>
      <c r="G1102" t="s">
        <v>346</v>
      </c>
      <c r="I1102" s="37">
        <v>746.99</v>
      </c>
      <c r="L1102" s="37">
        <v>746.99</v>
      </c>
      <c r="N1102" s="37">
        <v>746.99</v>
      </c>
    </row>
    <row r="1103" spans="1:14" x14ac:dyDescent="0.25">
      <c r="A1103" s="1">
        <v>46063</v>
      </c>
      <c r="B1103">
        <v>2</v>
      </c>
      <c r="C1103" t="s">
        <v>541</v>
      </c>
      <c r="D1103" t="s">
        <v>10</v>
      </c>
      <c r="E1103" t="s">
        <v>358</v>
      </c>
      <c r="F1103" t="s">
        <v>52</v>
      </c>
      <c r="G1103" t="s">
        <v>359</v>
      </c>
      <c r="I1103" s="37">
        <v>1251.99</v>
      </c>
      <c r="K1103" s="37">
        <v>1.99</v>
      </c>
      <c r="L1103" s="37">
        <v>1250</v>
      </c>
      <c r="N1103" s="37">
        <v>1250</v>
      </c>
    </row>
    <row r="1104" spans="1:14" x14ac:dyDescent="0.25">
      <c r="A1104" s="1">
        <v>46063</v>
      </c>
      <c r="B1104">
        <v>2</v>
      </c>
      <c r="C1104" t="s">
        <v>541</v>
      </c>
      <c r="D1104" t="s">
        <v>10</v>
      </c>
      <c r="E1104" t="s">
        <v>360</v>
      </c>
      <c r="F1104" t="s">
        <v>211</v>
      </c>
      <c r="G1104" t="s">
        <v>346</v>
      </c>
      <c r="I1104" s="37">
        <v>746.99</v>
      </c>
      <c r="J1104" s="37">
        <v>30</v>
      </c>
      <c r="L1104" s="37">
        <v>776.99</v>
      </c>
      <c r="N1104" s="37">
        <v>776.99</v>
      </c>
    </row>
    <row r="1105" spans="1:14" x14ac:dyDescent="0.25">
      <c r="A1105" s="1">
        <v>46063</v>
      </c>
      <c r="B1105">
        <v>2</v>
      </c>
      <c r="C1105" t="s">
        <v>541</v>
      </c>
      <c r="D1105" t="s">
        <v>10</v>
      </c>
      <c r="E1105" t="s">
        <v>361</v>
      </c>
      <c r="F1105" t="s">
        <v>52</v>
      </c>
      <c r="G1105" t="s">
        <v>346</v>
      </c>
      <c r="I1105" s="37">
        <v>1251.99</v>
      </c>
      <c r="J1105" s="37">
        <v>60.01</v>
      </c>
      <c r="L1105" s="37">
        <v>1312</v>
      </c>
      <c r="N1105" s="37">
        <v>1312</v>
      </c>
    </row>
    <row r="1106" spans="1:14" x14ac:dyDescent="0.25">
      <c r="A1106" s="1">
        <v>46063</v>
      </c>
      <c r="B1106">
        <v>2</v>
      </c>
      <c r="C1106" t="s">
        <v>541</v>
      </c>
      <c r="D1106" t="s">
        <v>10</v>
      </c>
      <c r="E1106" t="s">
        <v>362</v>
      </c>
      <c r="F1106" t="s">
        <v>52</v>
      </c>
      <c r="G1106" t="s">
        <v>363</v>
      </c>
      <c r="I1106" s="37">
        <v>1251.99</v>
      </c>
      <c r="K1106" s="37">
        <v>536.55999999999995</v>
      </c>
      <c r="L1106" s="37">
        <v>715.43</v>
      </c>
      <c r="N1106" s="37">
        <v>715.43</v>
      </c>
    </row>
    <row r="1107" spans="1:14" x14ac:dyDescent="0.25">
      <c r="A1107" s="1">
        <v>46063</v>
      </c>
      <c r="B1107">
        <v>2</v>
      </c>
      <c r="C1107" t="s">
        <v>541</v>
      </c>
      <c r="D1107" t="s">
        <v>10</v>
      </c>
      <c r="E1107" t="s">
        <v>364</v>
      </c>
      <c r="F1107" t="s">
        <v>365</v>
      </c>
      <c r="G1107" t="s">
        <v>346</v>
      </c>
      <c r="I1107" s="37">
        <v>801.99</v>
      </c>
      <c r="K1107" s="37">
        <v>229.14</v>
      </c>
      <c r="L1107" s="37">
        <v>572.85</v>
      </c>
      <c r="N1107" s="37">
        <v>572.85</v>
      </c>
    </row>
    <row r="1108" spans="1:14" x14ac:dyDescent="0.25">
      <c r="A1108" s="1">
        <v>46063</v>
      </c>
      <c r="B1108">
        <v>2</v>
      </c>
      <c r="C1108" t="s">
        <v>541</v>
      </c>
      <c r="D1108" t="s">
        <v>10</v>
      </c>
      <c r="E1108" t="s">
        <v>366</v>
      </c>
      <c r="F1108" t="s">
        <v>52</v>
      </c>
      <c r="G1108" t="s">
        <v>346</v>
      </c>
      <c r="I1108" s="37">
        <v>1251.99</v>
      </c>
      <c r="L1108" s="37">
        <v>1251.99</v>
      </c>
      <c r="N1108" s="37">
        <v>1251.99</v>
      </c>
    </row>
    <row r="1109" spans="1:14" x14ac:dyDescent="0.25">
      <c r="A1109" s="1">
        <v>46063</v>
      </c>
      <c r="B1109">
        <v>2</v>
      </c>
      <c r="C1109" t="s">
        <v>541</v>
      </c>
      <c r="D1109" t="s">
        <v>10</v>
      </c>
      <c r="E1109" t="s">
        <v>375</v>
      </c>
      <c r="F1109" t="s">
        <v>52</v>
      </c>
      <c r="G1109" t="s">
        <v>346</v>
      </c>
      <c r="I1109" s="37">
        <v>1251.99</v>
      </c>
      <c r="J1109" s="37">
        <v>60</v>
      </c>
      <c r="L1109" s="37">
        <v>1311.99</v>
      </c>
      <c r="N1109" s="37">
        <v>1311.99</v>
      </c>
    </row>
    <row r="1110" spans="1:14" x14ac:dyDescent="0.25">
      <c r="A1110" s="1">
        <v>46063</v>
      </c>
      <c r="B1110">
        <v>2</v>
      </c>
      <c r="C1110" t="s">
        <v>541</v>
      </c>
      <c r="D1110" t="s">
        <v>10</v>
      </c>
      <c r="E1110" t="s">
        <v>376</v>
      </c>
      <c r="F1110" t="s">
        <v>52</v>
      </c>
      <c r="G1110" t="s">
        <v>346</v>
      </c>
      <c r="I1110" s="37">
        <v>1251.99</v>
      </c>
      <c r="K1110" s="37">
        <v>1.99</v>
      </c>
      <c r="L1110" s="37">
        <v>1250</v>
      </c>
      <c r="N1110" s="37">
        <v>1250</v>
      </c>
    </row>
    <row r="1111" spans="1:14" x14ac:dyDescent="0.25">
      <c r="A1111" s="1">
        <v>46063</v>
      </c>
      <c r="B1111">
        <v>2</v>
      </c>
      <c r="C1111" t="s">
        <v>541</v>
      </c>
      <c r="D1111" t="s">
        <v>10</v>
      </c>
      <c r="E1111" t="s">
        <v>372</v>
      </c>
      <c r="F1111" t="s">
        <v>55</v>
      </c>
      <c r="G1111" t="s">
        <v>373</v>
      </c>
      <c r="I1111" s="37">
        <v>746.99</v>
      </c>
      <c r="L1111" s="37">
        <v>746.99</v>
      </c>
      <c r="M1111" s="37">
        <v>199.49</v>
      </c>
      <c r="N1111" s="37">
        <v>746.99</v>
      </c>
    </row>
    <row r="1112" spans="1:14" x14ac:dyDescent="0.25">
      <c r="A1112" s="1">
        <v>46063</v>
      </c>
      <c r="B1112">
        <v>2</v>
      </c>
      <c r="C1112" t="s">
        <v>542</v>
      </c>
      <c r="D1112" t="s">
        <v>706</v>
      </c>
      <c r="E1112" t="s">
        <v>371</v>
      </c>
      <c r="F1112" t="s">
        <v>277</v>
      </c>
      <c r="G1112" t="s">
        <v>370</v>
      </c>
      <c r="I1112" s="37">
        <v>1051.99</v>
      </c>
      <c r="L1112" s="37">
        <v>1051.99</v>
      </c>
    </row>
    <row r="1113" spans="1:14" x14ac:dyDescent="0.25">
      <c r="A1113" s="1">
        <v>46063</v>
      </c>
      <c r="B1113">
        <v>2</v>
      </c>
      <c r="C1113" t="s">
        <v>541</v>
      </c>
      <c r="D1113" t="s">
        <v>10</v>
      </c>
      <c r="E1113" t="s">
        <v>410</v>
      </c>
      <c r="F1113" t="s">
        <v>411</v>
      </c>
      <c r="G1113" t="s">
        <v>346</v>
      </c>
      <c r="I1113" s="37">
        <v>1251.99</v>
      </c>
      <c r="L1113" s="37">
        <v>1251.99</v>
      </c>
      <c r="N1113" s="37">
        <v>1251.99</v>
      </c>
    </row>
    <row r="1114" spans="1:14" x14ac:dyDescent="0.25">
      <c r="A1114" s="1">
        <v>46063</v>
      </c>
      <c r="B1114">
        <v>2</v>
      </c>
      <c r="C1114" t="s">
        <v>541</v>
      </c>
      <c r="D1114" t="s">
        <v>10</v>
      </c>
      <c r="E1114" t="s">
        <v>505</v>
      </c>
      <c r="F1114" t="s">
        <v>158</v>
      </c>
      <c r="G1114" t="s">
        <v>346</v>
      </c>
      <c r="I1114" s="37">
        <v>746.99</v>
      </c>
      <c r="L1114" s="37">
        <v>746.99</v>
      </c>
      <c r="N1114" s="37">
        <v>746.99</v>
      </c>
    </row>
    <row r="1115" spans="1:14" x14ac:dyDescent="0.25">
      <c r="A1115" s="1">
        <v>46063</v>
      </c>
      <c r="B1115">
        <v>2</v>
      </c>
      <c r="C1115" t="s">
        <v>541</v>
      </c>
      <c r="D1115" t="s">
        <v>10</v>
      </c>
      <c r="E1115" t="s">
        <v>508</v>
      </c>
      <c r="F1115" t="s">
        <v>158</v>
      </c>
      <c r="G1115" t="s">
        <v>346</v>
      </c>
      <c r="I1115" s="37">
        <v>746.99</v>
      </c>
      <c r="J1115" s="37">
        <v>59.01</v>
      </c>
      <c r="L1115" s="37">
        <v>806</v>
      </c>
      <c r="N1115" s="37">
        <v>806</v>
      </c>
    </row>
    <row r="1116" spans="1:14" x14ac:dyDescent="0.25">
      <c r="A1116" s="1">
        <v>46063</v>
      </c>
      <c r="B1116">
        <v>2</v>
      </c>
      <c r="C1116" t="s">
        <v>541</v>
      </c>
      <c r="D1116" t="s">
        <v>10</v>
      </c>
      <c r="E1116" t="s">
        <v>325</v>
      </c>
      <c r="F1116" t="s">
        <v>158</v>
      </c>
      <c r="G1116" t="s">
        <v>346</v>
      </c>
      <c r="I1116" s="37">
        <v>746.99</v>
      </c>
      <c r="L1116" s="37">
        <v>746.99</v>
      </c>
      <c r="N1116" s="37">
        <v>746.99</v>
      </c>
    </row>
    <row r="1117" spans="1:14" x14ac:dyDescent="0.25">
      <c r="A1117" s="1">
        <v>46063</v>
      </c>
      <c r="B1117">
        <v>2</v>
      </c>
      <c r="C1117" t="s">
        <v>541</v>
      </c>
      <c r="D1117" t="s">
        <v>10</v>
      </c>
      <c r="E1117" t="s">
        <v>704</v>
      </c>
      <c r="F1117" t="s">
        <v>69</v>
      </c>
      <c r="G1117" t="s">
        <v>705</v>
      </c>
      <c r="I1117" s="37">
        <v>746.99</v>
      </c>
      <c r="L1117" s="37">
        <v>746.99</v>
      </c>
      <c r="M1117" s="37">
        <v>550</v>
      </c>
      <c r="N1117" s="37">
        <v>746.99</v>
      </c>
    </row>
    <row r="1118" spans="1:14" x14ac:dyDescent="0.25">
      <c r="A1118" s="1">
        <v>46063</v>
      </c>
      <c r="B1118">
        <v>2</v>
      </c>
      <c r="C1118" t="s">
        <v>541</v>
      </c>
      <c r="D1118" t="s">
        <v>10</v>
      </c>
      <c r="E1118" t="s">
        <v>708</v>
      </c>
      <c r="F1118" t="s">
        <v>709</v>
      </c>
      <c r="G1118" t="s">
        <v>370</v>
      </c>
      <c r="I1118" s="37">
        <v>981.99</v>
      </c>
      <c r="L1118" s="37">
        <v>981.99</v>
      </c>
      <c r="N1118" s="37">
        <v>981.99</v>
      </c>
    </row>
    <row r="1119" spans="1:14" x14ac:dyDescent="0.25">
      <c r="A1119" s="1">
        <v>46063</v>
      </c>
      <c r="B1119">
        <v>2</v>
      </c>
      <c r="C1119" t="s">
        <v>542</v>
      </c>
      <c r="D1119" t="s">
        <v>99</v>
      </c>
      <c r="E1119" t="s">
        <v>710</v>
      </c>
      <c r="F1119" t="s">
        <v>52</v>
      </c>
      <c r="G1119" t="s">
        <v>515</v>
      </c>
      <c r="I1119" s="37">
        <v>1251.99</v>
      </c>
      <c r="L1119" s="37">
        <v>1251.99</v>
      </c>
    </row>
    <row r="1120" spans="1:14" x14ac:dyDescent="0.25">
      <c r="A1120" s="1">
        <v>46063</v>
      </c>
      <c r="B1120">
        <v>2</v>
      </c>
      <c r="C1120" t="s">
        <v>541</v>
      </c>
      <c r="D1120" t="s">
        <v>10</v>
      </c>
      <c r="E1120" t="s">
        <v>377</v>
      </c>
      <c r="F1120" t="s">
        <v>69</v>
      </c>
      <c r="G1120" t="s">
        <v>378</v>
      </c>
      <c r="I1120" s="37">
        <v>746.99</v>
      </c>
      <c r="J1120" s="37">
        <v>3.01</v>
      </c>
      <c r="L1120" s="37">
        <v>750</v>
      </c>
      <c r="N1120" s="37">
        <v>750</v>
      </c>
    </row>
    <row r="1121" spans="1:14" x14ac:dyDescent="0.25">
      <c r="A1121" s="1">
        <v>46063</v>
      </c>
      <c r="B1121">
        <v>2</v>
      </c>
      <c r="C1121" t="s">
        <v>541</v>
      </c>
      <c r="D1121" t="s">
        <v>10</v>
      </c>
      <c r="E1121" t="s">
        <v>379</v>
      </c>
      <c r="F1121" t="s">
        <v>41</v>
      </c>
      <c r="G1121" t="s">
        <v>380</v>
      </c>
      <c r="I1121" s="37">
        <v>746.99</v>
      </c>
      <c r="J1121" s="37">
        <v>30.01</v>
      </c>
      <c r="L1121" s="37">
        <v>777</v>
      </c>
      <c r="N1121" s="37">
        <v>777</v>
      </c>
    </row>
    <row r="1122" spans="1:14" x14ac:dyDescent="0.25">
      <c r="A1122" s="1">
        <v>46063</v>
      </c>
      <c r="B1122">
        <v>2</v>
      </c>
      <c r="C1122" t="s">
        <v>541</v>
      </c>
      <c r="D1122" t="s">
        <v>10</v>
      </c>
      <c r="E1122" t="s">
        <v>381</v>
      </c>
      <c r="F1122" t="s">
        <v>41</v>
      </c>
      <c r="G1122" t="s">
        <v>380</v>
      </c>
      <c r="I1122" s="37">
        <v>746.99</v>
      </c>
      <c r="K1122" s="37">
        <v>211.99</v>
      </c>
      <c r="L1122" s="37">
        <v>535</v>
      </c>
      <c r="N1122" s="37">
        <v>535</v>
      </c>
    </row>
    <row r="1123" spans="1:14" x14ac:dyDescent="0.25">
      <c r="A1123" s="1">
        <v>46063</v>
      </c>
      <c r="B1123">
        <v>2</v>
      </c>
      <c r="C1123" t="s">
        <v>541</v>
      </c>
      <c r="D1123" t="s">
        <v>10</v>
      </c>
      <c r="E1123" t="s">
        <v>386</v>
      </c>
      <c r="F1123" t="s">
        <v>387</v>
      </c>
      <c r="G1123" t="s">
        <v>349</v>
      </c>
      <c r="I1123" s="37">
        <v>801.99</v>
      </c>
      <c r="L1123" s="37">
        <v>801.99</v>
      </c>
      <c r="N1123" s="37">
        <v>801.99</v>
      </c>
    </row>
    <row r="1124" spans="1:14" x14ac:dyDescent="0.25">
      <c r="A1124" s="1">
        <v>46063</v>
      </c>
      <c r="B1124">
        <v>2</v>
      </c>
      <c r="C1124" t="s">
        <v>541</v>
      </c>
      <c r="D1124" t="s">
        <v>10</v>
      </c>
      <c r="E1124" t="s">
        <v>388</v>
      </c>
      <c r="F1124" t="s">
        <v>41</v>
      </c>
      <c r="G1124" t="s">
        <v>346</v>
      </c>
      <c r="I1124" s="37">
        <v>746.99</v>
      </c>
      <c r="J1124" s="37">
        <v>3.01</v>
      </c>
      <c r="L1124" s="37">
        <v>750</v>
      </c>
      <c r="N1124" s="37">
        <v>750</v>
      </c>
    </row>
    <row r="1125" spans="1:14" x14ac:dyDescent="0.25">
      <c r="A1125" s="1">
        <v>46063</v>
      </c>
      <c r="B1125">
        <v>2</v>
      </c>
      <c r="C1125" t="s">
        <v>541</v>
      </c>
      <c r="D1125" t="s">
        <v>10</v>
      </c>
      <c r="E1125" t="s">
        <v>389</v>
      </c>
      <c r="F1125" t="s">
        <v>12</v>
      </c>
      <c r="G1125" t="s">
        <v>346</v>
      </c>
      <c r="I1125" s="37">
        <v>746.99</v>
      </c>
      <c r="J1125" s="37">
        <v>30</v>
      </c>
      <c r="L1125" s="37">
        <v>776.99</v>
      </c>
      <c r="N1125" s="37">
        <v>776.99</v>
      </c>
    </row>
    <row r="1126" spans="1:14" x14ac:dyDescent="0.25">
      <c r="A1126" s="1">
        <v>46063</v>
      </c>
      <c r="B1126">
        <v>2</v>
      </c>
      <c r="C1126" t="s">
        <v>541</v>
      </c>
      <c r="D1126" t="s">
        <v>10</v>
      </c>
      <c r="E1126" t="s">
        <v>390</v>
      </c>
      <c r="F1126" t="s">
        <v>12</v>
      </c>
      <c r="G1126" t="s">
        <v>346</v>
      </c>
      <c r="I1126" s="37">
        <v>746.99</v>
      </c>
      <c r="L1126" s="37">
        <v>746.99</v>
      </c>
      <c r="N1126" s="37">
        <v>746.99</v>
      </c>
    </row>
    <row r="1127" spans="1:14" x14ac:dyDescent="0.25">
      <c r="A1127" s="1">
        <v>46063</v>
      </c>
      <c r="B1127">
        <v>2</v>
      </c>
      <c r="C1127" t="s">
        <v>541</v>
      </c>
      <c r="D1127" t="s">
        <v>10</v>
      </c>
      <c r="E1127" t="s">
        <v>524</v>
      </c>
      <c r="F1127" t="s">
        <v>41</v>
      </c>
      <c r="G1127" t="s">
        <v>420</v>
      </c>
      <c r="I1127" s="37">
        <v>746.99</v>
      </c>
      <c r="K1127" s="37">
        <v>1.99</v>
      </c>
      <c r="L1127" s="37">
        <v>745</v>
      </c>
      <c r="M1127" s="37">
        <v>130.41999999999999</v>
      </c>
      <c r="N1127" s="37">
        <v>745</v>
      </c>
    </row>
    <row r="1128" spans="1:14" x14ac:dyDescent="0.25">
      <c r="A1128" s="1">
        <v>46063</v>
      </c>
      <c r="B1128">
        <v>2</v>
      </c>
      <c r="C1128" t="s">
        <v>541</v>
      </c>
      <c r="D1128" t="s">
        <v>10</v>
      </c>
      <c r="E1128" t="s">
        <v>391</v>
      </c>
      <c r="F1128" t="s">
        <v>116</v>
      </c>
      <c r="G1128" t="s">
        <v>346</v>
      </c>
      <c r="I1128" s="37">
        <v>746.99</v>
      </c>
      <c r="J1128" s="37">
        <v>4.01</v>
      </c>
      <c r="L1128" s="37">
        <v>751</v>
      </c>
      <c r="N1128" s="37">
        <v>751</v>
      </c>
    </row>
    <row r="1129" spans="1:14" x14ac:dyDescent="0.25">
      <c r="A1129" s="1">
        <v>46063</v>
      </c>
      <c r="B1129">
        <v>2</v>
      </c>
      <c r="C1129" t="s">
        <v>541</v>
      </c>
      <c r="D1129" t="s">
        <v>10</v>
      </c>
      <c r="E1129" t="s">
        <v>392</v>
      </c>
      <c r="F1129" t="s">
        <v>393</v>
      </c>
      <c r="G1129" t="s">
        <v>349</v>
      </c>
      <c r="I1129" s="37">
        <v>896.99</v>
      </c>
      <c r="K1129" s="37">
        <v>1.99</v>
      </c>
      <c r="L1129" s="37">
        <v>895</v>
      </c>
      <c r="N1129" s="37">
        <v>895</v>
      </c>
    </row>
    <row r="1130" spans="1:14" x14ac:dyDescent="0.25">
      <c r="A1130" s="1">
        <v>46063</v>
      </c>
      <c r="B1130">
        <v>2</v>
      </c>
      <c r="C1130" t="s">
        <v>541</v>
      </c>
      <c r="D1130" t="s">
        <v>10</v>
      </c>
      <c r="E1130" t="s">
        <v>396</v>
      </c>
      <c r="F1130" t="s">
        <v>55</v>
      </c>
      <c r="G1130" t="s">
        <v>346</v>
      </c>
      <c r="I1130" s="37">
        <v>746.99</v>
      </c>
      <c r="J1130" s="37">
        <v>30</v>
      </c>
      <c r="L1130" s="37">
        <v>776.99</v>
      </c>
      <c r="N1130" s="37">
        <v>776.99</v>
      </c>
    </row>
    <row r="1131" spans="1:14" x14ac:dyDescent="0.25">
      <c r="A1131" s="1">
        <v>46063</v>
      </c>
      <c r="B1131">
        <v>2</v>
      </c>
      <c r="C1131" t="s">
        <v>541</v>
      </c>
      <c r="D1131" t="s">
        <v>10</v>
      </c>
      <c r="E1131" t="s">
        <v>397</v>
      </c>
      <c r="F1131" t="s">
        <v>41</v>
      </c>
      <c r="G1131" t="s">
        <v>398</v>
      </c>
      <c r="I1131" s="37">
        <v>746.99</v>
      </c>
      <c r="J1131" s="37">
        <v>60</v>
      </c>
      <c r="L1131" s="37">
        <v>806.99</v>
      </c>
      <c r="N1131" s="37">
        <v>806.99</v>
      </c>
    </row>
    <row r="1132" spans="1:14" x14ac:dyDescent="0.25">
      <c r="A1132" s="1">
        <v>46063</v>
      </c>
      <c r="B1132">
        <v>2</v>
      </c>
      <c r="C1132" t="s">
        <v>541</v>
      </c>
      <c r="D1132" t="s">
        <v>10</v>
      </c>
      <c r="E1132" t="s">
        <v>399</v>
      </c>
      <c r="F1132" t="s">
        <v>12</v>
      </c>
      <c r="G1132" t="s">
        <v>346</v>
      </c>
      <c r="I1132" s="37">
        <v>746.99</v>
      </c>
      <c r="J1132" s="37">
        <v>30</v>
      </c>
      <c r="L1132" s="37">
        <v>776.99</v>
      </c>
      <c r="N1132" s="37">
        <v>776.99</v>
      </c>
    </row>
    <row r="1133" spans="1:14" x14ac:dyDescent="0.25">
      <c r="A1133" s="1">
        <v>46063</v>
      </c>
      <c r="B1133">
        <v>2</v>
      </c>
      <c r="C1133" t="s">
        <v>541</v>
      </c>
      <c r="D1133" t="s">
        <v>10</v>
      </c>
      <c r="E1133" t="s">
        <v>400</v>
      </c>
      <c r="F1133" t="s">
        <v>158</v>
      </c>
      <c r="G1133" t="s">
        <v>346</v>
      </c>
      <c r="I1133" s="37">
        <v>746.99</v>
      </c>
      <c r="L1133" s="37">
        <v>746.99</v>
      </c>
      <c r="N1133" s="37">
        <v>746.99</v>
      </c>
    </row>
    <row r="1134" spans="1:14" x14ac:dyDescent="0.25">
      <c r="A1134" s="1">
        <v>46063</v>
      </c>
      <c r="B1134">
        <v>2</v>
      </c>
      <c r="C1134" t="s">
        <v>541</v>
      </c>
      <c r="D1134" t="s">
        <v>10</v>
      </c>
      <c r="E1134" t="s">
        <v>401</v>
      </c>
      <c r="F1134" t="s">
        <v>55</v>
      </c>
      <c r="G1134" t="s">
        <v>346</v>
      </c>
      <c r="I1134" s="37">
        <v>746.99</v>
      </c>
      <c r="J1134" s="37">
        <v>60</v>
      </c>
      <c r="L1134" s="37">
        <v>806.99</v>
      </c>
      <c r="N1134" s="37">
        <v>806.99</v>
      </c>
    </row>
    <row r="1135" spans="1:14" x14ac:dyDescent="0.25">
      <c r="A1135" s="1">
        <v>46063</v>
      </c>
      <c r="B1135">
        <v>2</v>
      </c>
      <c r="C1135" t="s">
        <v>541</v>
      </c>
      <c r="D1135" t="s">
        <v>10</v>
      </c>
      <c r="E1135" t="s">
        <v>402</v>
      </c>
      <c r="F1135" t="s">
        <v>403</v>
      </c>
      <c r="G1135" t="s">
        <v>346</v>
      </c>
      <c r="I1135" s="37">
        <v>1001.99</v>
      </c>
      <c r="J1135" s="37">
        <v>28.01</v>
      </c>
      <c r="L1135" s="37">
        <v>1030</v>
      </c>
      <c r="N1135" s="37">
        <v>1030</v>
      </c>
    </row>
    <row r="1136" spans="1:14" x14ac:dyDescent="0.25">
      <c r="A1136" s="1">
        <v>46063</v>
      </c>
      <c r="B1136">
        <v>2</v>
      </c>
      <c r="C1136" t="s">
        <v>541</v>
      </c>
      <c r="D1136" t="s">
        <v>10</v>
      </c>
      <c r="E1136" t="s">
        <v>404</v>
      </c>
      <c r="F1136" t="s">
        <v>55</v>
      </c>
      <c r="G1136" t="s">
        <v>346</v>
      </c>
      <c r="I1136" s="37">
        <v>746.99</v>
      </c>
      <c r="L1136" s="37">
        <v>746.99</v>
      </c>
      <c r="N1136" s="37">
        <v>746.99</v>
      </c>
    </row>
    <row r="1137" spans="1:14" x14ac:dyDescent="0.25">
      <c r="A1137" s="1">
        <v>46063</v>
      </c>
      <c r="B1137">
        <v>2</v>
      </c>
      <c r="C1137" t="s">
        <v>541</v>
      </c>
      <c r="D1137" t="s">
        <v>10</v>
      </c>
      <c r="E1137" t="s">
        <v>405</v>
      </c>
      <c r="F1137" t="s">
        <v>52</v>
      </c>
      <c r="G1137" t="s">
        <v>346</v>
      </c>
      <c r="I1137" s="37">
        <v>1251.99</v>
      </c>
      <c r="J1137" s="37">
        <v>30</v>
      </c>
      <c r="L1137" s="37">
        <v>1281.99</v>
      </c>
      <c r="N1137" s="37">
        <v>1281.99</v>
      </c>
    </row>
    <row r="1138" spans="1:14" x14ac:dyDescent="0.25">
      <c r="A1138" s="1">
        <v>46063</v>
      </c>
      <c r="B1138">
        <v>2</v>
      </c>
      <c r="C1138" t="s">
        <v>541</v>
      </c>
      <c r="D1138" t="s">
        <v>10</v>
      </c>
      <c r="E1138" t="s">
        <v>406</v>
      </c>
      <c r="F1138" t="s">
        <v>407</v>
      </c>
      <c r="G1138" t="s">
        <v>346</v>
      </c>
      <c r="I1138" s="37">
        <v>801.99</v>
      </c>
      <c r="L1138" s="37">
        <v>801.99</v>
      </c>
      <c r="N1138" s="37">
        <v>801.99</v>
      </c>
    </row>
    <row r="1139" spans="1:14" x14ac:dyDescent="0.25">
      <c r="A1139" s="1">
        <v>46063</v>
      </c>
      <c r="B1139">
        <v>2</v>
      </c>
      <c r="C1139" t="s">
        <v>541</v>
      </c>
      <c r="D1139" t="s">
        <v>10</v>
      </c>
      <c r="E1139" t="s">
        <v>510</v>
      </c>
      <c r="F1139" t="s">
        <v>55</v>
      </c>
      <c r="G1139" t="s">
        <v>346</v>
      </c>
      <c r="I1139" s="37">
        <v>746.99</v>
      </c>
      <c r="K1139" s="37">
        <v>0.5</v>
      </c>
      <c r="L1139" s="37">
        <v>746.49</v>
      </c>
      <c r="N1139" s="37">
        <v>746.49</v>
      </c>
    </row>
    <row r="1140" spans="1:14" x14ac:dyDescent="0.25">
      <c r="A1140" s="1">
        <v>46063</v>
      </c>
      <c r="B1140">
        <v>2</v>
      </c>
      <c r="C1140" t="s">
        <v>541</v>
      </c>
      <c r="D1140" t="s">
        <v>10</v>
      </c>
      <c r="E1140" t="s">
        <v>408</v>
      </c>
      <c r="F1140" t="s">
        <v>52</v>
      </c>
      <c r="G1140" t="s">
        <v>409</v>
      </c>
      <c r="I1140" s="37">
        <v>1251.99</v>
      </c>
      <c r="J1140" s="37">
        <v>30.01</v>
      </c>
      <c r="L1140" s="37">
        <v>1282</v>
      </c>
      <c r="N1140" s="37">
        <v>1282</v>
      </c>
    </row>
    <row r="1141" spans="1:14" x14ac:dyDescent="0.25">
      <c r="A1141" s="1">
        <v>46063</v>
      </c>
      <c r="B1141">
        <v>2</v>
      </c>
      <c r="C1141" t="s">
        <v>541</v>
      </c>
      <c r="D1141" t="s">
        <v>10</v>
      </c>
      <c r="E1141" t="s">
        <v>445</v>
      </c>
      <c r="F1141" t="s">
        <v>52</v>
      </c>
      <c r="G1141" t="s">
        <v>346</v>
      </c>
      <c r="I1141" s="37">
        <v>1251.99</v>
      </c>
      <c r="J1141" s="37">
        <v>0.01</v>
      </c>
      <c r="L1141" s="37">
        <v>1252</v>
      </c>
      <c r="N1141" s="37">
        <v>1252</v>
      </c>
    </row>
    <row r="1142" spans="1:14" x14ac:dyDescent="0.25">
      <c r="A1142" s="1">
        <v>46063</v>
      </c>
      <c r="B1142">
        <v>2</v>
      </c>
      <c r="C1142" t="s">
        <v>541</v>
      </c>
      <c r="D1142" t="s">
        <v>10</v>
      </c>
      <c r="E1142" t="s">
        <v>503</v>
      </c>
      <c r="F1142" t="s">
        <v>69</v>
      </c>
      <c r="G1142" t="s">
        <v>349</v>
      </c>
      <c r="I1142" s="37">
        <v>801.99</v>
      </c>
      <c r="J1142" s="37">
        <v>28.01</v>
      </c>
      <c r="L1142" s="37">
        <v>830</v>
      </c>
      <c r="N1142" s="37">
        <v>830</v>
      </c>
    </row>
    <row r="1143" spans="1:14" x14ac:dyDescent="0.25">
      <c r="A1143" s="1">
        <v>46063</v>
      </c>
      <c r="B1143">
        <v>2</v>
      </c>
      <c r="C1143" t="s">
        <v>541</v>
      </c>
      <c r="D1143" t="s">
        <v>10</v>
      </c>
      <c r="E1143" t="s">
        <v>413</v>
      </c>
      <c r="F1143" t="s">
        <v>211</v>
      </c>
      <c r="G1143" t="s">
        <v>414</v>
      </c>
      <c r="I1143" s="37">
        <v>746.99</v>
      </c>
      <c r="J1143" s="37">
        <v>20</v>
      </c>
      <c r="L1143" s="37">
        <v>766.99</v>
      </c>
      <c r="N1143" s="37">
        <v>766.99</v>
      </c>
    </row>
    <row r="1144" spans="1:14" x14ac:dyDescent="0.25">
      <c r="A1144" s="1">
        <v>46063</v>
      </c>
      <c r="B1144">
        <v>2</v>
      </c>
      <c r="C1144" t="s">
        <v>541</v>
      </c>
      <c r="D1144" t="s">
        <v>10</v>
      </c>
      <c r="E1144" t="s">
        <v>415</v>
      </c>
      <c r="F1144" t="s">
        <v>416</v>
      </c>
      <c r="G1144" t="s">
        <v>370</v>
      </c>
      <c r="I1144" s="37">
        <v>931.99</v>
      </c>
      <c r="J1144" s="37">
        <v>60</v>
      </c>
      <c r="L1144" s="37">
        <v>991.99</v>
      </c>
      <c r="N1144" s="37">
        <v>991.99</v>
      </c>
    </row>
    <row r="1145" spans="1:14" x14ac:dyDescent="0.25">
      <c r="A1145" s="1">
        <v>46063</v>
      </c>
      <c r="B1145">
        <v>2</v>
      </c>
      <c r="C1145" t="s">
        <v>541</v>
      </c>
      <c r="D1145" t="s">
        <v>10</v>
      </c>
      <c r="E1145" t="s">
        <v>384</v>
      </c>
      <c r="F1145" t="s">
        <v>385</v>
      </c>
      <c r="G1145" t="s">
        <v>349</v>
      </c>
      <c r="I1145" s="37">
        <v>801.99</v>
      </c>
      <c r="J1145" s="37">
        <v>2.0099999999999998</v>
      </c>
      <c r="L1145" s="37">
        <v>804</v>
      </c>
      <c r="N1145" s="37">
        <v>804</v>
      </c>
    </row>
    <row r="1146" spans="1:14" x14ac:dyDescent="0.25">
      <c r="A1146" s="1">
        <v>46063</v>
      </c>
      <c r="B1146">
        <v>2</v>
      </c>
      <c r="C1146" t="s">
        <v>541</v>
      </c>
      <c r="D1146" t="s">
        <v>10</v>
      </c>
      <c r="E1146" t="s">
        <v>459</v>
      </c>
      <c r="F1146" t="s">
        <v>426</v>
      </c>
      <c r="G1146" t="s">
        <v>363</v>
      </c>
      <c r="I1146" s="37">
        <v>746.99</v>
      </c>
      <c r="L1146" s="37">
        <v>792</v>
      </c>
      <c r="N1146" s="37">
        <v>746.99</v>
      </c>
    </row>
    <row r="1147" spans="1:14" x14ac:dyDescent="0.25">
      <c r="A1147" s="1">
        <v>46063</v>
      </c>
      <c r="B1147">
        <v>2</v>
      </c>
      <c r="C1147" t="s">
        <v>541</v>
      </c>
      <c r="D1147" t="s">
        <v>10</v>
      </c>
      <c r="E1147" t="s">
        <v>482</v>
      </c>
      <c r="F1147" t="s">
        <v>158</v>
      </c>
      <c r="G1147" t="s">
        <v>346</v>
      </c>
      <c r="I1147" s="37">
        <v>746.99</v>
      </c>
      <c r="L1147" s="37">
        <v>746.99</v>
      </c>
      <c r="N1147" s="37">
        <v>746.99</v>
      </c>
    </row>
    <row r="1148" spans="1:14" x14ac:dyDescent="0.25">
      <c r="A1148" s="1">
        <v>46063</v>
      </c>
      <c r="B1148">
        <v>2</v>
      </c>
      <c r="C1148" t="s">
        <v>541</v>
      </c>
      <c r="D1148" t="s">
        <v>10</v>
      </c>
      <c r="E1148" t="s">
        <v>319</v>
      </c>
      <c r="F1148" t="s">
        <v>158</v>
      </c>
      <c r="G1148" t="s">
        <v>346</v>
      </c>
      <c r="I1148" s="37">
        <v>746.99</v>
      </c>
      <c r="L1148" s="37">
        <v>791.99</v>
      </c>
      <c r="N1148" s="37">
        <v>746.99</v>
      </c>
    </row>
    <row r="1149" spans="1:14" x14ac:dyDescent="0.25">
      <c r="A1149" s="1">
        <v>46063</v>
      </c>
      <c r="B1149">
        <v>2</v>
      </c>
      <c r="C1149" t="s">
        <v>541</v>
      </c>
      <c r="D1149" t="s">
        <v>10</v>
      </c>
      <c r="E1149" t="s">
        <v>529</v>
      </c>
      <c r="F1149" t="s">
        <v>55</v>
      </c>
      <c r="G1149" t="s">
        <v>346</v>
      </c>
      <c r="I1149" s="37">
        <v>746.99</v>
      </c>
      <c r="L1149" s="37">
        <v>791.99</v>
      </c>
      <c r="N1149" s="37">
        <v>746.99</v>
      </c>
    </row>
    <row r="1150" spans="1:14" x14ac:dyDescent="0.25">
      <c r="A1150" s="1">
        <v>46063</v>
      </c>
      <c r="B1150">
        <v>2</v>
      </c>
      <c r="C1150" t="s">
        <v>541</v>
      </c>
      <c r="D1150" t="s">
        <v>10</v>
      </c>
      <c r="E1150" t="s">
        <v>532</v>
      </c>
      <c r="F1150" t="s">
        <v>55</v>
      </c>
      <c r="G1150" t="s">
        <v>346</v>
      </c>
      <c r="I1150" s="37">
        <v>746.99</v>
      </c>
      <c r="L1150" s="37">
        <v>791.99</v>
      </c>
      <c r="N1150" s="37">
        <v>746.99</v>
      </c>
    </row>
    <row r="1151" spans="1:14" x14ac:dyDescent="0.25">
      <c r="A1151" s="1">
        <v>46063</v>
      </c>
      <c r="B1151">
        <v>2</v>
      </c>
      <c r="C1151" t="s">
        <v>541</v>
      </c>
      <c r="D1151" t="s">
        <v>10</v>
      </c>
      <c r="E1151" t="s">
        <v>382</v>
      </c>
      <c r="F1151" t="s">
        <v>383</v>
      </c>
      <c r="G1151" t="s">
        <v>349</v>
      </c>
      <c r="I1151" s="37">
        <v>981.99</v>
      </c>
      <c r="L1151" s="37">
        <v>1200</v>
      </c>
      <c r="N1151" s="37">
        <v>981.99</v>
      </c>
    </row>
    <row r="1152" spans="1:14" x14ac:dyDescent="0.25">
      <c r="A1152" s="1">
        <v>46063</v>
      </c>
      <c r="B1152">
        <v>2</v>
      </c>
      <c r="C1152" t="s">
        <v>541</v>
      </c>
      <c r="D1152" t="s">
        <v>10</v>
      </c>
      <c r="E1152" t="s">
        <v>419</v>
      </c>
      <c r="F1152" t="s">
        <v>94</v>
      </c>
      <c r="G1152" t="s">
        <v>420</v>
      </c>
      <c r="I1152" s="37">
        <v>746.99</v>
      </c>
      <c r="L1152" s="37">
        <v>746.99</v>
      </c>
      <c r="M1152" s="37">
        <v>537.5</v>
      </c>
      <c r="N1152" s="37">
        <v>746.99</v>
      </c>
    </row>
    <row r="1153" spans="1:14" x14ac:dyDescent="0.25">
      <c r="A1153" s="1">
        <v>46063</v>
      </c>
      <c r="B1153">
        <v>2</v>
      </c>
      <c r="C1153" t="s">
        <v>541</v>
      </c>
      <c r="D1153" t="s">
        <v>10</v>
      </c>
      <c r="E1153" t="s">
        <v>501</v>
      </c>
      <c r="F1153" t="s">
        <v>12</v>
      </c>
      <c r="G1153" t="s">
        <v>346</v>
      </c>
      <c r="I1153" s="37">
        <v>746.99</v>
      </c>
      <c r="L1153" s="37">
        <v>746.99</v>
      </c>
      <c r="N1153" s="37">
        <v>746.99</v>
      </c>
    </row>
    <row r="1154" spans="1:14" x14ac:dyDescent="0.25">
      <c r="A1154" s="1">
        <v>46063</v>
      </c>
      <c r="B1154">
        <v>2</v>
      </c>
      <c r="C1154" t="s">
        <v>541</v>
      </c>
      <c r="D1154" t="s">
        <v>10</v>
      </c>
      <c r="E1154" t="s">
        <v>418</v>
      </c>
      <c r="F1154" t="s">
        <v>33</v>
      </c>
      <c r="G1154" t="s">
        <v>346</v>
      </c>
      <c r="I1154" s="37">
        <v>851.99</v>
      </c>
      <c r="K1154" s="37">
        <v>242.86</v>
      </c>
      <c r="L1154" s="37">
        <v>609.13</v>
      </c>
      <c r="N1154" s="37">
        <v>609.13</v>
      </c>
    </row>
    <row r="1155" spans="1:14" x14ac:dyDescent="0.25">
      <c r="A1155" s="1">
        <v>46063</v>
      </c>
      <c r="B1155">
        <v>2</v>
      </c>
      <c r="C1155" t="s">
        <v>541</v>
      </c>
      <c r="D1155" t="s">
        <v>10</v>
      </c>
      <c r="E1155" t="s">
        <v>424</v>
      </c>
      <c r="F1155" t="s">
        <v>12</v>
      </c>
      <c r="G1155" t="s">
        <v>346</v>
      </c>
      <c r="I1155" s="37">
        <v>746.99</v>
      </c>
      <c r="J1155" s="37">
        <v>60.01</v>
      </c>
      <c r="L1155" s="37">
        <v>807</v>
      </c>
      <c r="N1155" s="37">
        <v>807</v>
      </c>
    </row>
    <row r="1156" spans="1:14" x14ac:dyDescent="0.25">
      <c r="A1156" s="1">
        <v>46063</v>
      </c>
      <c r="B1156">
        <v>2</v>
      </c>
      <c r="C1156" t="s">
        <v>541</v>
      </c>
      <c r="D1156" t="s">
        <v>10</v>
      </c>
      <c r="E1156" t="s">
        <v>425</v>
      </c>
      <c r="F1156" t="s">
        <v>426</v>
      </c>
      <c r="G1156" t="s">
        <v>349</v>
      </c>
      <c r="I1156" s="37">
        <v>881.99</v>
      </c>
      <c r="L1156" s="37">
        <v>881.99</v>
      </c>
      <c r="M1156" s="37">
        <v>156.91</v>
      </c>
      <c r="N1156" s="37">
        <v>881.99</v>
      </c>
    </row>
    <row r="1157" spans="1:14" x14ac:dyDescent="0.25">
      <c r="A1157" s="1">
        <v>46063</v>
      </c>
      <c r="B1157">
        <v>2</v>
      </c>
      <c r="C1157" t="s">
        <v>541</v>
      </c>
      <c r="D1157" t="s">
        <v>10</v>
      </c>
      <c r="E1157" t="s">
        <v>427</v>
      </c>
      <c r="F1157" t="s">
        <v>116</v>
      </c>
      <c r="G1157" t="s">
        <v>363</v>
      </c>
      <c r="I1157" s="37">
        <v>746.99</v>
      </c>
      <c r="K1157" s="37">
        <v>213.42</v>
      </c>
      <c r="L1157" s="37">
        <v>533.57000000000005</v>
      </c>
      <c r="N1157" s="37">
        <v>533.57000000000005</v>
      </c>
    </row>
    <row r="1158" spans="1:14" x14ac:dyDescent="0.25">
      <c r="A1158" s="1">
        <v>46063</v>
      </c>
      <c r="B1158">
        <v>2</v>
      </c>
      <c r="C1158" t="s">
        <v>541</v>
      </c>
      <c r="D1158" t="s">
        <v>10</v>
      </c>
      <c r="E1158" t="s">
        <v>428</v>
      </c>
      <c r="F1158" t="s">
        <v>69</v>
      </c>
      <c r="G1158" t="s">
        <v>378</v>
      </c>
      <c r="I1158" s="37">
        <v>746.99</v>
      </c>
      <c r="K1158" s="37">
        <v>1.99</v>
      </c>
      <c r="L1158" s="37">
        <v>745</v>
      </c>
      <c r="N1158" s="37">
        <v>745</v>
      </c>
    </row>
    <row r="1159" spans="1:14" x14ac:dyDescent="0.25">
      <c r="A1159" s="1">
        <v>46063</v>
      </c>
      <c r="B1159">
        <v>2</v>
      </c>
      <c r="C1159" t="s">
        <v>541</v>
      </c>
      <c r="D1159" t="s">
        <v>10</v>
      </c>
      <c r="E1159" t="s">
        <v>525</v>
      </c>
      <c r="F1159" t="s">
        <v>158</v>
      </c>
      <c r="G1159" t="s">
        <v>346</v>
      </c>
      <c r="I1159" s="37">
        <v>746.99</v>
      </c>
      <c r="L1159" s="37">
        <v>746.99</v>
      </c>
      <c r="N1159" s="37">
        <v>746.99</v>
      </c>
    </row>
    <row r="1160" spans="1:14" x14ac:dyDescent="0.25">
      <c r="A1160" s="1">
        <v>46063</v>
      </c>
      <c r="B1160">
        <v>2</v>
      </c>
      <c r="C1160" t="s">
        <v>541</v>
      </c>
      <c r="D1160" t="s">
        <v>10</v>
      </c>
      <c r="E1160" t="s">
        <v>430</v>
      </c>
      <c r="F1160" t="s">
        <v>158</v>
      </c>
      <c r="G1160" t="s">
        <v>346</v>
      </c>
      <c r="I1160" s="37">
        <v>746.99</v>
      </c>
      <c r="J1160" s="37">
        <v>30</v>
      </c>
      <c r="L1160" s="37">
        <v>776.99</v>
      </c>
      <c r="N1160" s="37">
        <v>776.99</v>
      </c>
    </row>
    <row r="1161" spans="1:14" x14ac:dyDescent="0.25">
      <c r="A1161" s="1">
        <v>46063</v>
      </c>
      <c r="B1161">
        <v>2</v>
      </c>
      <c r="C1161" t="s">
        <v>541</v>
      </c>
      <c r="D1161" t="s">
        <v>10</v>
      </c>
      <c r="E1161" t="s">
        <v>431</v>
      </c>
      <c r="F1161" t="s">
        <v>158</v>
      </c>
      <c r="G1161" t="s">
        <v>346</v>
      </c>
      <c r="I1161" s="37">
        <v>746.99</v>
      </c>
      <c r="K1161" s="37">
        <v>1.99</v>
      </c>
      <c r="L1161" s="37">
        <v>745</v>
      </c>
      <c r="N1161" s="37">
        <v>745</v>
      </c>
    </row>
    <row r="1162" spans="1:14" x14ac:dyDescent="0.25">
      <c r="A1162" s="1">
        <v>46063</v>
      </c>
      <c r="B1162">
        <v>2</v>
      </c>
      <c r="C1162" t="s">
        <v>541</v>
      </c>
      <c r="D1162" t="s">
        <v>10</v>
      </c>
      <c r="E1162" t="s">
        <v>432</v>
      </c>
      <c r="F1162" t="s">
        <v>55</v>
      </c>
      <c r="G1162" t="s">
        <v>433</v>
      </c>
      <c r="I1162" s="37">
        <v>746.99</v>
      </c>
      <c r="J1162" s="37">
        <v>30.01</v>
      </c>
      <c r="L1162" s="37">
        <v>777</v>
      </c>
      <c r="N1162" s="37">
        <v>777</v>
      </c>
    </row>
    <row r="1163" spans="1:14" x14ac:dyDescent="0.25">
      <c r="A1163" s="1">
        <v>46063</v>
      </c>
      <c r="B1163">
        <v>2</v>
      </c>
      <c r="C1163" t="s">
        <v>541</v>
      </c>
      <c r="D1163" t="s">
        <v>10</v>
      </c>
      <c r="E1163" t="s">
        <v>434</v>
      </c>
      <c r="F1163" t="s">
        <v>55</v>
      </c>
      <c r="G1163" t="s">
        <v>346</v>
      </c>
      <c r="I1163" s="37">
        <v>746.99</v>
      </c>
      <c r="J1163" s="37">
        <v>30</v>
      </c>
      <c r="L1163" s="37">
        <v>776.99</v>
      </c>
      <c r="N1163" s="37">
        <v>776.99</v>
      </c>
    </row>
    <row r="1164" spans="1:14" x14ac:dyDescent="0.25">
      <c r="A1164" s="1">
        <v>46063</v>
      </c>
      <c r="B1164">
        <v>2</v>
      </c>
      <c r="C1164" t="s">
        <v>541</v>
      </c>
      <c r="D1164" t="s">
        <v>10</v>
      </c>
      <c r="E1164" t="s">
        <v>435</v>
      </c>
      <c r="F1164" t="s">
        <v>41</v>
      </c>
      <c r="G1164" t="s">
        <v>398</v>
      </c>
      <c r="I1164" s="37">
        <v>746.99</v>
      </c>
      <c r="J1164" s="37">
        <v>60</v>
      </c>
      <c r="L1164" s="37">
        <v>806.99</v>
      </c>
      <c r="N1164" s="37">
        <v>806.99</v>
      </c>
    </row>
    <row r="1165" spans="1:14" x14ac:dyDescent="0.25">
      <c r="A1165" s="1">
        <v>46063</v>
      </c>
      <c r="B1165">
        <v>2</v>
      </c>
      <c r="C1165" t="s">
        <v>541</v>
      </c>
      <c r="D1165" t="s">
        <v>10</v>
      </c>
      <c r="E1165" t="s">
        <v>437</v>
      </c>
      <c r="F1165" t="s">
        <v>12</v>
      </c>
      <c r="G1165" t="s">
        <v>346</v>
      </c>
      <c r="I1165" s="37">
        <v>746.99</v>
      </c>
      <c r="K1165" s="37">
        <v>1.99</v>
      </c>
      <c r="L1165" s="37">
        <v>745</v>
      </c>
      <c r="N1165" s="37">
        <v>745</v>
      </c>
    </row>
    <row r="1166" spans="1:14" x14ac:dyDescent="0.25">
      <c r="A1166" s="1">
        <v>46063</v>
      </c>
      <c r="B1166">
        <v>2</v>
      </c>
      <c r="C1166" t="s">
        <v>541</v>
      </c>
      <c r="D1166" t="s">
        <v>10</v>
      </c>
      <c r="E1166" t="s">
        <v>438</v>
      </c>
      <c r="F1166" t="s">
        <v>52</v>
      </c>
      <c r="G1166" t="s">
        <v>359</v>
      </c>
      <c r="I1166" s="37">
        <v>1251.99</v>
      </c>
      <c r="J1166" s="37">
        <v>30</v>
      </c>
      <c r="L1166" s="37">
        <v>1281.99</v>
      </c>
      <c r="N1166" s="37">
        <v>1281.99</v>
      </c>
    </row>
    <row r="1167" spans="1:14" x14ac:dyDescent="0.25">
      <c r="A1167" s="1">
        <v>46063</v>
      </c>
      <c r="B1167">
        <v>2</v>
      </c>
      <c r="C1167" t="s">
        <v>541</v>
      </c>
      <c r="D1167" t="s">
        <v>10</v>
      </c>
      <c r="E1167" t="s">
        <v>440</v>
      </c>
      <c r="F1167" t="s">
        <v>411</v>
      </c>
      <c r="G1167" t="s">
        <v>346</v>
      </c>
      <c r="I1167" s="37">
        <v>1251.99</v>
      </c>
      <c r="J1167" s="37">
        <v>30</v>
      </c>
      <c r="L1167" s="37">
        <v>1281.99</v>
      </c>
      <c r="N1167" s="37">
        <v>1281.99</v>
      </c>
    </row>
    <row r="1168" spans="1:14" x14ac:dyDescent="0.25">
      <c r="A1168" s="1">
        <v>46063</v>
      </c>
      <c r="B1168">
        <v>2</v>
      </c>
      <c r="C1168" t="s">
        <v>541</v>
      </c>
      <c r="D1168" t="s">
        <v>10</v>
      </c>
      <c r="E1168" t="s">
        <v>441</v>
      </c>
      <c r="F1168" t="s">
        <v>52</v>
      </c>
      <c r="G1168" t="s">
        <v>346</v>
      </c>
      <c r="I1168" s="37">
        <v>1251.99</v>
      </c>
      <c r="J1168" s="37">
        <v>60</v>
      </c>
      <c r="L1168" s="37">
        <v>1311.99</v>
      </c>
      <c r="N1168" s="37">
        <v>1311.99</v>
      </c>
    </row>
    <row r="1169" spans="1:14" x14ac:dyDescent="0.25">
      <c r="A1169" s="1">
        <v>46063</v>
      </c>
      <c r="B1169">
        <v>2</v>
      </c>
      <c r="C1169" t="s">
        <v>541</v>
      </c>
      <c r="D1169" t="s">
        <v>10</v>
      </c>
      <c r="E1169" t="s">
        <v>442</v>
      </c>
      <c r="F1169" t="s">
        <v>52</v>
      </c>
      <c r="G1169" t="s">
        <v>346</v>
      </c>
      <c r="I1169" s="37">
        <v>1251.99</v>
      </c>
      <c r="K1169" s="37">
        <v>1.99</v>
      </c>
      <c r="L1169" s="37">
        <v>1250</v>
      </c>
      <c r="N1169" s="37">
        <v>1250</v>
      </c>
    </row>
    <row r="1170" spans="1:14" x14ac:dyDescent="0.25">
      <c r="A1170" s="1">
        <v>46063</v>
      </c>
      <c r="B1170">
        <v>2</v>
      </c>
      <c r="C1170" t="s">
        <v>541</v>
      </c>
      <c r="D1170" t="s">
        <v>10</v>
      </c>
      <c r="E1170" t="s">
        <v>443</v>
      </c>
      <c r="F1170" t="s">
        <v>52</v>
      </c>
      <c r="G1170" t="s">
        <v>346</v>
      </c>
      <c r="I1170" s="37">
        <v>1251.99</v>
      </c>
      <c r="J1170" s="37">
        <v>107.01</v>
      </c>
      <c r="L1170" s="37">
        <v>1359</v>
      </c>
      <c r="N1170" s="37">
        <v>1359</v>
      </c>
    </row>
    <row r="1171" spans="1:14" x14ac:dyDescent="0.25">
      <c r="A1171" s="1">
        <v>46063</v>
      </c>
      <c r="B1171">
        <v>2</v>
      </c>
      <c r="C1171" t="s">
        <v>541</v>
      </c>
      <c r="D1171" t="s">
        <v>10</v>
      </c>
      <c r="E1171" t="s">
        <v>444</v>
      </c>
      <c r="F1171" t="s">
        <v>52</v>
      </c>
      <c r="G1171" t="s">
        <v>409</v>
      </c>
      <c r="I1171" s="37">
        <v>1251.99</v>
      </c>
      <c r="J1171" s="37">
        <v>28.01</v>
      </c>
      <c r="L1171" s="37">
        <v>1280</v>
      </c>
      <c r="N1171" s="37">
        <v>1280</v>
      </c>
    </row>
    <row r="1172" spans="1:14" x14ac:dyDescent="0.25">
      <c r="A1172" s="1">
        <v>46063</v>
      </c>
      <c r="B1172">
        <v>2</v>
      </c>
      <c r="C1172" t="s">
        <v>541</v>
      </c>
      <c r="D1172" t="s">
        <v>10</v>
      </c>
      <c r="E1172" t="s">
        <v>446</v>
      </c>
      <c r="F1172" t="s">
        <v>447</v>
      </c>
      <c r="G1172" t="s">
        <v>349</v>
      </c>
      <c r="I1172" s="37">
        <v>851.99</v>
      </c>
      <c r="L1172" s="37">
        <v>851.99</v>
      </c>
      <c r="N1172" s="37">
        <v>851.99</v>
      </c>
    </row>
    <row r="1173" spans="1:14" x14ac:dyDescent="0.25">
      <c r="A1173" s="1">
        <v>46063</v>
      </c>
      <c r="B1173">
        <v>2</v>
      </c>
      <c r="C1173" t="s">
        <v>541</v>
      </c>
      <c r="D1173" t="s">
        <v>10</v>
      </c>
      <c r="E1173" t="s">
        <v>448</v>
      </c>
      <c r="F1173" t="s">
        <v>255</v>
      </c>
      <c r="G1173" t="s">
        <v>409</v>
      </c>
      <c r="I1173" s="37">
        <v>801.99</v>
      </c>
      <c r="J1173" s="37">
        <v>29.96</v>
      </c>
      <c r="L1173" s="37">
        <v>831.95</v>
      </c>
      <c r="N1173" s="37">
        <v>831.95</v>
      </c>
    </row>
    <row r="1174" spans="1:14" x14ac:dyDescent="0.25">
      <c r="A1174" s="1">
        <v>46063</v>
      </c>
      <c r="B1174">
        <v>2</v>
      </c>
      <c r="C1174" t="s">
        <v>542</v>
      </c>
      <c r="D1174" t="s">
        <v>99</v>
      </c>
      <c r="E1174" t="s">
        <v>507</v>
      </c>
      <c r="F1174" t="s">
        <v>403</v>
      </c>
      <c r="G1174" t="s">
        <v>346</v>
      </c>
      <c r="I1174" s="37">
        <v>1000</v>
      </c>
      <c r="L1174" s="37">
        <v>1000</v>
      </c>
    </row>
    <row r="1175" spans="1:14" x14ac:dyDescent="0.25">
      <c r="A1175" s="1">
        <v>46063</v>
      </c>
      <c r="B1175">
        <v>2</v>
      </c>
      <c r="C1175" t="s">
        <v>541</v>
      </c>
      <c r="D1175" t="s">
        <v>10</v>
      </c>
      <c r="E1175" t="s">
        <v>506</v>
      </c>
      <c r="F1175" t="s">
        <v>158</v>
      </c>
      <c r="G1175" t="s">
        <v>346</v>
      </c>
      <c r="I1175" s="37">
        <v>746.99</v>
      </c>
      <c r="L1175" s="37">
        <v>791.99</v>
      </c>
      <c r="N1175" s="37">
        <v>746.99</v>
      </c>
    </row>
    <row r="1176" spans="1:14" x14ac:dyDescent="0.25">
      <c r="A1176" s="1">
        <v>46063</v>
      </c>
      <c r="B1176">
        <v>2</v>
      </c>
      <c r="C1176" t="s">
        <v>541</v>
      </c>
      <c r="D1176" t="s">
        <v>10</v>
      </c>
      <c r="E1176" t="s">
        <v>526</v>
      </c>
      <c r="F1176" t="s">
        <v>158</v>
      </c>
      <c r="G1176" t="s">
        <v>346</v>
      </c>
      <c r="I1176" s="37">
        <v>746.99</v>
      </c>
      <c r="L1176" s="37">
        <v>746.99</v>
      </c>
      <c r="N1176" s="37">
        <v>746.99</v>
      </c>
    </row>
    <row r="1177" spans="1:14" x14ac:dyDescent="0.25">
      <c r="A1177" s="1">
        <v>46063</v>
      </c>
      <c r="B1177">
        <v>2</v>
      </c>
      <c r="C1177" t="s">
        <v>541</v>
      </c>
      <c r="D1177" t="s">
        <v>10</v>
      </c>
      <c r="E1177" t="s">
        <v>324</v>
      </c>
      <c r="F1177" t="s">
        <v>158</v>
      </c>
      <c r="G1177" t="s">
        <v>346</v>
      </c>
      <c r="I1177" s="37">
        <v>746.99</v>
      </c>
      <c r="L1177" s="37">
        <v>791.99</v>
      </c>
      <c r="N1177" s="37">
        <v>746.99</v>
      </c>
    </row>
    <row r="1178" spans="1:14" x14ac:dyDescent="0.25">
      <c r="A1178" s="1">
        <v>46063</v>
      </c>
      <c r="B1178">
        <v>2</v>
      </c>
      <c r="C1178" t="s">
        <v>541</v>
      </c>
      <c r="D1178" t="s">
        <v>10</v>
      </c>
      <c r="E1178" t="s">
        <v>531</v>
      </c>
      <c r="F1178" t="s">
        <v>158</v>
      </c>
      <c r="G1178" t="s">
        <v>346</v>
      </c>
      <c r="I1178" s="37">
        <v>746.99</v>
      </c>
      <c r="L1178" s="37">
        <v>791.99</v>
      </c>
      <c r="N1178" s="37">
        <v>746.99</v>
      </c>
    </row>
    <row r="1179" spans="1:14" x14ac:dyDescent="0.25">
      <c r="A1179" s="1">
        <v>46063</v>
      </c>
      <c r="B1179">
        <v>2</v>
      </c>
      <c r="C1179" t="s">
        <v>541</v>
      </c>
      <c r="D1179" t="s">
        <v>10</v>
      </c>
      <c r="E1179" t="s">
        <v>538</v>
      </c>
      <c r="F1179" t="s">
        <v>178</v>
      </c>
      <c r="G1179" t="s">
        <v>409</v>
      </c>
      <c r="I1179" s="37">
        <v>801.99</v>
      </c>
      <c r="L1179" s="37">
        <v>846.99</v>
      </c>
      <c r="N1179" s="37">
        <v>801.99</v>
      </c>
    </row>
    <row r="1180" spans="1:14" x14ac:dyDescent="0.25">
      <c r="A1180" s="1">
        <v>46063</v>
      </c>
      <c r="B1180">
        <v>2</v>
      </c>
      <c r="C1180" t="s">
        <v>541</v>
      </c>
      <c r="D1180" t="s">
        <v>10</v>
      </c>
      <c r="E1180" t="s">
        <v>395</v>
      </c>
      <c r="F1180" t="s">
        <v>116</v>
      </c>
      <c r="G1180" t="s">
        <v>346</v>
      </c>
      <c r="I1180" s="37">
        <v>746.99</v>
      </c>
      <c r="L1180" s="37">
        <v>791.99</v>
      </c>
      <c r="N1180" s="37">
        <v>746.99</v>
      </c>
    </row>
    <row r="1181" spans="1:14" x14ac:dyDescent="0.25">
      <c r="A1181" s="1">
        <v>46063</v>
      </c>
      <c r="B1181">
        <v>2</v>
      </c>
      <c r="C1181" t="s">
        <v>541</v>
      </c>
      <c r="D1181" t="s">
        <v>10</v>
      </c>
      <c r="E1181" t="s">
        <v>412</v>
      </c>
      <c r="F1181" t="s">
        <v>403</v>
      </c>
      <c r="G1181" t="s">
        <v>346</v>
      </c>
      <c r="I1181" s="37">
        <v>1001.99</v>
      </c>
      <c r="L1181" s="37">
        <v>1496.99</v>
      </c>
      <c r="N1181" s="37">
        <v>1001.99</v>
      </c>
    </row>
    <row r="1182" spans="1:14" x14ac:dyDescent="0.25">
      <c r="A1182" s="1">
        <v>46063</v>
      </c>
      <c r="B1182">
        <v>2</v>
      </c>
      <c r="C1182" t="s">
        <v>541</v>
      </c>
      <c r="D1182" t="s">
        <v>10</v>
      </c>
      <c r="E1182" t="s">
        <v>423</v>
      </c>
      <c r="F1182" t="s">
        <v>12</v>
      </c>
      <c r="G1182" t="s">
        <v>346</v>
      </c>
      <c r="I1182" s="37">
        <v>746.99</v>
      </c>
      <c r="L1182" s="37">
        <v>791.99</v>
      </c>
      <c r="N1182" s="37">
        <v>746.99</v>
      </c>
    </row>
    <row r="1183" spans="1:14" x14ac:dyDescent="0.25">
      <c r="A1183" s="1">
        <v>46063</v>
      </c>
      <c r="B1183">
        <v>2</v>
      </c>
      <c r="C1183" t="s">
        <v>541</v>
      </c>
      <c r="D1183" t="s">
        <v>10</v>
      </c>
      <c r="E1183" t="s">
        <v>519</v>
      </c>
      <c r="F1183" t="s">
        <v>520</v>
      </c>
      <c r="G1183" t="s">
        <v>349</v>
      </c>
      <c r="I1183" s="37">
        <v>746.99</v>
      </c>
      <c r="L1183" s="37">
        <v>791.99</v>
      </c>
      <c r="N1183" s="37">
        <v>746.99</v>
      </c>
    </row>
    <row r="1184" spans="1:14" x14ac:dyDescent="0.25">
      <c r="A1184" s="1">
        <v>46063</v>
      </c>
      <c r="B1184">
        <v>2</v>
      </c>
      <c r="C1184" t="s">
        <v>541</v>
      </c>
      <c r="D1184" t="s">
        <v>10</v>
      </c>
      <c r="E1184" t="s">
        <v>429</v>
      </c>
      <c r="F1184" t="s">
        <v>158</v>
      </c>
      <c r="G1184" t="s">
        <v>346</v>
      </c>
      <c r="I1184" s="37">
        <v>746.99</v>
      </c>
      <c r="L1184" s="37">
        <v>791.99</v>
      </c>
      <c r="N1184" s="37">
        <v>746.99</v>
      </c>
    </row>
    <row r="1185" spans="1:14" x14ac:dyDescent="0.25">
      <c r="A1185" s="1">
        <v>46063</v>
      </c>
      <c r="B1185">
        <v>2</v>
      </c>
      <c r="C1185" t="s">
        <v>541</v>
      </c>
      <c r="D1185" t="s">
        <v>10</v>
      </c>
      <c r="E1185" t="s">
        <v>439</v>
      </c>
      <c r="F1185" t="s">
        <v>52</v>
      </c>
      <c r="G1185" t="s">
        <v>346</v>
      </c>
      <c r="I1185" s="37">
        <v>1251.99</v>
      </c>
      <c r="L1185" s="37">
        <v>1746.99</v>
      </c>
      <c r="N1185" s="37">
        <v>1251.99</v>
      </c>
    </row>
    <row r="1186" spans="1:14" x14ac:dyDescent="0.25">
      <c r="A1186" s="1">
        <v>46063</v>
      </c>
      <c r="B1186">
        <v>2</v>
      </c>
      <c r="C1186" t="s">
        <v>541</v>
      </c>
      <c r="D1186" t="s">
        <v>10</v>
      </c>
      <c r="E1186" t="s">
        <v>449</v>
      </c>
      <c r="F1186" t="s">
        <v>41</v>
      </c>
      <c r="G1186" t="s">
        <v>349</v>
      </c>
      <c r="I1186" s="37">
        <v>746.99</v>
      </c>
      <c r="L1186" s="37">
        <v>746.99</v>
      </c>
      <c r="N1186" s="37">
        <v>746.99</v>
      </c>
    </row>
    <row r="1187" spans="1:14" x14ac:dyDescent="0.25">
      <c r="A1187" s="1">
        <v>46063</v>
      </c>
      <c r="B1187">
        <v>2</v>
      </c>
      <c r="C1187" t="s">
        <v>541</v>
      </c>
      <c r="D1187" t="s">
        <v>10</v>
      </c>
      <c r="E1187" t="s">
        <v>450</v>
      </c>
      <c r="F1187" t="s">
        <v>451</v>
      </c>
      <c r="G1187" t="s">
        <v>346</v>
      </c>
      <c r="I1187" s="37">
        <v>1351.99</v>
      </c>
      <c r="K1187" s="37">
        <v>18.62</v>
      </c>
      <c r="L1187" s="37">
        <v>1333.37</v>
      </c>
      <c r="N1187" s="37">
        <v>1333.37</v>
      </c>
    </row>
    <row r="1188" spans="1:14" x14ac:dyDescent="0.25">
      <c r="A1188" s="1">
        <v>46063</v>
      </c>
      <c r="B1188">
        <v>2</v>
      </c>
      <c r="C1188" t="s">
        <v>541</v>
      </c>
      <c r="D1188" t="s">
        <v>10</v>
      </c>
      <c r="E1188" t="s">
        <v>452</v>
      </c>
      <c r="F1188" t="s">
        <v>12</v>
      </c>
      <c r="G1188" t="s">
        <v>346</v>
      </c>
      <c r="I1188" s="37">
        <v>746.99</v>
      </c>
      <c r="J1188" s="37">
        <v>29.01</v>
      </c>
      <c r="L1188" s="37">
        <v>776</v>
      </c>
      <c r="N1188" s="37">
        <v>776</v>
      </c>
    </row>
    <row r="1189" spans="1:14" x14ac:dyDescent="0.25">
      <c r="A1189" s="1">
        <v>46063</v>
      </c>
      <c r="B1189">
        <v>2</v>
      </c>
      <c r="C1189" t="s">
        <v>541</v>
      </c>
      <c r="D1189" t="s">
        <v>10</v>
      </c>
      <c r="E1189" t="s">
        <v>453</v>
      </c>
      <c r="F1189" t="s">
        <v>387</v>
      </c>
      <c r="G1189" t="s">
        <v>349</v>
      </c>
      <c r="I1189" s="37">
        <v>801.99</v>
      </c>
      <c r="L1189" s="37">
        <v>801.99</v>
      </c>
      <c r="N1189" s="37">
        <v>801.99</v>
      </c>
    </row>
    <row r="1190" spans="1:14" x14ac:dyDescent="0.25">
      <c r="A1190" s="1">
        <v>46063</v>
      </c>
      <c r="B1190">
        <v>2</v>
      </c>
      <c r="C1190" t="s">
        <v>541</v>
      </c>
      <c r="D1190" t="s">
        <v>10</v>
      </c>
      <c r="E1190" t="s">
        <v>499</v>
      </c>
      <c r="F1190" t="s">
        <v>500</v>
      </c>
      <c r="G1190" t="s">
        <v>363</v>
      </c>
      <c r="I1190" s="37">
        <v>1100</v>
      </c>
      <c r="L1190" s="37">
        <v>1100</v>
      </c>
      <c r="N1190" s="37">
        <v>1100</v>
      </c>
    </row>
    <row r="1191" spans="1:14" x14ac:dyDescent="0.25">
      <c r="A1191" s="1">
        <v>46063</v>
      </c>
      <c r="B1191">
        <v>2</v>
      </c>
      <c r="C1191" t="s">
        <v>541</v>
      </c>
      <c r="D1191" t="s">
        <v>10</v>
      </c>
      <c r="E1191" t="s">
        <v>454</v>
      </c>
      <c r="F1191" t="s">
        <v>455</v>
      </c>
      <c r="G1191" t="s">
        <v>349</v>
      </c>
      <c r="I1191" s="37">
        <v>831.99</v>
      </c>
      <c r="J1191" s="37">
        <v>30.01</v>
      </c>
      <c r="L1191" s="37">
        <v>862</v>
      </c>
      <c r="N1191" s="37">
        <v>862</v>
      </c>
    </row>
    <row r="1192" spans="1:14" x14ac:dyDescent="0.25">
      <c r="A1192" s="1">
        <v>46063</v>
      </c>
      <c r="B1192">
        <v>2</v>
      </c>
      <c r="C1192" t="s">
        <v>541</v>
      </c>
      <c r="D1192" t="s">
        <v>10</v>
      </c>
      <c r="E1192" t="s">
        <v>456</v>
      </c>
      <c r="F1192" t="s">
        <v>41</v>
      </c>
      <c r="G1192" t="s">
        <v>457</v>
      </c>
      <c r="I1192" s="37">
        <v>746.99</v>
      </c>
      <c r="K1192" s="37">
        <v>1.99</v>
      </c>
      <c r="L1192" s="37">
        <v>745</v>
      </c>
      <c r="N1192" s="37">
        <v>745</v>
      </c>
    </row>
    <row r="1193" spans="1:14" x14ac:dyDescent="0.25">
      <c r="A1193" s="1">
        <v>46063</v>
      </c>
      <c r="B1193">
        <v>2</v>
      </c>
      <c r="C1193" t="s">
        <v>541</v>
      </c>
      <c r="D1193" t="s">
        <v>10</v>
      </c>
      <c r="E1193" t="s">
        <v>458</v>
      </c>
      <c r="F1193" t="s">
        <v>41</v>
      </c>
      <c r="G1193" t="s">
        <v>380</v>
      </c>
      <c r="I1193" s="37">
        <v>746.99</v>
      </c>
      <c r="K1193" s="37">
        <v>1.99</v>
      </c>
      <c r="L1193" s="37">
        <v>745</v>
      </c>
      <c r="N1193" s="37">
        <v>745</v>
      </c>
    </row>
    <row r="1194" spans="1:14" x14ac:dyDescent="0.25">
      <c r="A1194" s="1">
        <v>46063</v>
      </c>
      <c r="B1194">
        <v>2</v>
      </c>
      <c r="C1194" t="s">
        <v>541</v>
      </c>
      <c r="D1194" t="s">
        <v>10</v>
      </c>
      <c r="E1194" t="s">
        <v>460</v>
      </c>
      <c r="F1194" t="s">
        <v>41</v>
      </c>
      <c r="G1194" t="s">
        <v>346</v>
      </c>
      <c r="I1194" s="37">
        <v>746.99</v>
      </c>
      <c r="J1194" s="37">
        <v>0.01</v>
      </c>
      <c r="L1194" s="37">
        <v>747</v>
      </c>
      <c r="N1194" s="37">
        <v>747</v>
      </c>
    </row>
    <row r="1195" spans="1:14" x14ac:dyDescent="0.25">
      <c r="A1195" s="1">
        <v>46063</v>
      </c>
      <c r="B1195">
        <v>2</v>
      </c>
      <c r="C1195" t="s">
        <v>541</v>
      </c>
      <c r="D1195" t="s">
        <v>10</v>
      </c>
      <c r="E1195" t="s">
        <v>461</v>
      </c>
      <c r="F1195" t="s">
        <v>41</v>
      </c>
      <c r="G1195" t="s">
        <v>462</v>
      </c>
      <c r="I1195" s="37">
        <v>746.99</v>
      </c>
      <c r="L1195" s="37">
        <v>746.99</v>
      </c>
      <c r="N1195" s="37">
        <v>746.99</v>
      </c>
    </row>
    <row r="1196" spans="1:14" x14ac:dyDescent="0.25">
      <c r="A1196" s="1">
        <v>46063</v>
      </c>
      <c r="B1196">
        <v>2</v>
      </c>
      <c r="C1196" t="s">
        <v>541</v>
      </c>
      <c r="D1196" t="s">
        <v>10</v>
      </c>
      <c r="E1196" t="s">
        <v>463</v>
      </c>
      <c r="F1196" t="s">
        <v>158</v>
      </c>
      <c r="G1196" t="s">
        <v>346</v>
      </c>
      <c r="I1196" s="37">
        <v>746.99</v>
      </c>
      <c r="K1196" s="37">
        <v>1.99</v>
      </c>
      <c r="L1196" s="37">
        <v>745</v>
      </c>
      <c r="N1196" s="37">
        <v>745</v>
      </c>
    </row>
    <row r="1197" spans="1:14" x14ac:dyDescent="0.25">
      <c r="A1197" s="1">
        <v>46063</v>
      </c>
      <c r="B1197">
        <v>2</v>
      </c>
      <c r="C1197" t="s">
        <v>541</v>
      </c>
      <c r="D1197" t="s">
        <v>10</v>
      </c>
      <c r="E1197" t="s">
        <v>464</v>
      </c>
      <c r="F1197" t="s">
        <v>55</v>
      </c>
      <c r="G1197" t="s">
        <v>346</v>
      </c>
      <c r="I1197" s="37">
        <v>746.99</v>
      </c>
      <c r="K1197" s="37">
        <v>6.99</v>
      </c>
      <c r="L1197" s="37">
        <v>740</v>
      </c>
      <c r="N1197" s="37">
        <v>740</v>
      </c>
    </row>
    <row r="1198" spans="1:14" x14ac:dyDescent="0.25">
      <c r="A1198" s="1">
        <v>46063</v>
      </c>
      <c r="B1198">
        <v>2</v>
      </c>
      <c r="C1198" t="s">
        <v>541</v>
      </c>
      <c r="D1198" t="s">
        <v>10</v>
      </c>
      <c r="E1198" t="s">
        <v>465</v>
      </c>
      <c r="F1198" t="s">
        <v>41</v>
      </c>
      <c r="G1198" t="s">
        <v>346</v>
      </c>
      <c r="I1198" s="37">
        <v>746.99</v>
      </c>
      <c r="K1198" s="37">
        <v>212.86</v>
      </c>
      <c r="L1198" s="37">
        <v>534.13</v>
      </c>
      <c r="N1198" s="37">
        <v>534.13</v>
      </c>
    </row>
    <row r="1199" spans="1:14" x14ac:dyDescent="0.25">
      <c r="A1199" s="1">
        <v>46063</v>
      </c>
      <c r="B1199">
        <v>2</v>
      </c>
      <c r="C1199" t="s">
        <v>542</v>
      </c>
      <c r="D1199" t="s">
        <v>99</v>
      </c>
      <c r="E1199" t="s">
        <v>466</v>
      </c>
      <c r="F1199" t="s">
        <v>33</v>
      </c>
      <c r="G1199" t="s">
        <v>467</v>
      </c>
      <c r="I1199" s="37">
        <v>851.99</v>
      </c>
      <c r="L1199" s="37">
        <v>851.99</v>
      </c>
    </row>
    <row r="1200" spans="1:14" x14ac:dyDescent="0.25">
      <c r="A1200" s="1">
        <v>46063</v>
      </c>
      <c r="B1200">
        <v>2</v>
      </c>
      <c r="C1200" t="s">
        <v>541</v>
      </c>
      <c r="D1200" t="s">
        <v>10</v>
      </c>
      <c r="E1200" t="s">
        <v>468</v>
      </c>
      <c r="F1200" t="s">
        <v>469</v>
      </c>
      <c r="G1200" t="s">
        <v>346</v>
      </c>
      <c r="I1200" s="37">
        <v>1001.99</v>
      </c>
      <c r="L1200" s="37">
        <v>1001.99</v>
      </c>
      <c r="N1200" s="37">
        <v>1001.99</v>
      </c>
    </row>
    <row r="1201" spans="1:14" x14ac:dyDescent="0.25">
      <c r="A1201" s="1">
        <v>46063</v>
      </c>
      <c r="B1201">
        <v>2</v>
      </c>
      <c r="C1201" t="s">
        <v>541</v>
      </c>
      <c r="D1201" t="s">
        <v>10</v>
      </c>
      <c r="E1201" t="s">
        <v>470</v>
      </c>
      <c r="F1201" t="s">
        <v>55</v>
      </c>
      <c r="G1201" t="s">
        <v>346</v>
      </c>
      <c r="I1201" s="37">
        <v>746.99</v>
      </c>
      <c r="K1201" s="37">
        <v>214.85</v>
      </c>
      <c r="L1201" s="37">
        <v>532.14</v>
      </c>
      <c r="N1201" s="37">
        <v>532.14</v>
      </c>
    </row>
    <row r="1202" spans="1:14" x14ac:dyDescent="0.25">
      <c r="A1202" s="1">
        <v>46063</v>
      </c>
      <c r="B1202">
        <v>2</v>
      </c>
      <c r="C1202" t="s">
        <v>541</v>
      </c>
      <c r="D1202" t="s">
        <v>10</v>
      </c>
      <c r="E1202" t="s">
        <v>471</v>
      </c>
      <c r="F1202" t="s">
        <v>472</v>
      </c>
      <c r="G1202" t="s">
        <v>346</v>
      </c>
      <c r="I1202" s="37">
        <v>746.99</v>
      </c>
      <c r="J1202" s="37">
        <v>30.01</v>
      </c>
      <c r="L1202" s="37">
        <v>777</v>
      </c>
      <c r="N1202" s="37">
        <v>777</v>
      </c>
    </row>
    <row r="1203" spans="1:14" x14ac:dyDescent="0.25">
      <c r="A1203" s="1">
        <v>46063</v>
      </c>
      <c r="B1203">
        <v>2</v>
      </c>
      <c r="C1203" t="s">
        <v>541</v>
      </c>
      <c r="D1203" t="s">
        <v>10</v>
      </c>
      <c r="E1203" t="s">
        <v>474</v>
      </c>
      <c r="F1203" t="s">
        <v>230</v>
      </c>
      <c r="G1203" t="s">
        <v>467</v>
      </c>
      <c r="I1203" s="37">
        <v>746.99</v>
      </c>
      <c r="L1203" s="37">
        <v>746.99</v>
      </c>
      <c r="N1203" s="37">
        <v>746.99</v>
      </c>
    </row>
    <row r="1204" spans="1:14" x14ac:dyDescent="0.25">
      <c r="A1204" s="1">
        <v>46063</v>
      </c>
      <c r="B1204">
        <v>2</v>
      </c>
      <c r="C1204" t="s">
        <v>541</v>
      </c>
      <c r="D1204" t="s">
        <v>10</v>
      </c>
      <c r="E1204" t="s">
        <v>477</v>
      </c>
      <c r="F1204" t="s">
        <v>230</v>
      </c>
      <c r="G1204" t="s">
        <v>346</v>
      </c>
      <c r="I1204" s="37">
        <v>746.99</v>
      </c>
      <c r="L1204" s="37">
        <v>746.99</v>
      </c>
      <c r="N1204" s="37">
        <v>746.99</v>
      </c>
    </row>
    <row r="1205" spans="1:14" x14ac:dyDescent="0.25">
      <c r="A1205" s="1">
        <v>46063</v>
      </c>
      <c r="B1205">
        <v>2</v>
      </c>
      <c r="C1205" t="s">
        <v>541</v>
      </c>
      <c r="D1205" t="s">
        <v>10</v>
      </c>
      <c r="E1205" t="s">
        <v>478</v>
      </c>
      <c r="F1205" t="s">
        <v>158</v>
      </c>
      <c r="G1205" t="s">
        <v>346</v>
      </c>
      <c r="I1205" s="37">
        <v>746.99</v>
      </c>
      <c r="L1205" s="37">
        <v>746.99</v>
      </c>
      <c r="N1205" s="37">
        <v>746.99</v>
      </c>
    </row>
    <row r="1206" spans="1:14" x14ac:dyDescent="0.25">
      <c r="A1206" s="1">
        <v>46063</v>
      </c>
      <c r="B1206">
        <v>2</v>
      </c>
      <c r="C1206" t="s">
        <v>541</v>
      </c>
      <c r="D1206" t="s">
        <v>10</v>
      </c>
      <c r="E1206" t="s">
        <v>479</v>
      </c>
      <c r="F1206" t="s">
        <v>41</v>
      </c>
      <c r="G1206" t="s">
        <v>398</v>
      </c>
      <c r="I1206" s="37">
        <v>746.99</v>
      </c>
      <c r="J1206" s="37">
        <v>60</v>
      </c>
      <c r="L1206" s="37">
        <v>806.99</v>
      </c>
      <c r="N1206" s="37">
        <v>806.99</v>
      </c>
    </row>
    <row r="1207" spans="1:14" x14ac:dyDescent="0.25">
      <c r="A1207" s="1">
        <v>46063</v>
      </c>
      <c r="B1207">
        <v>2</v>
      </c>
      <c r="C1207" t="s">
        <v>541</v>
      </c>
      <c r="D1207" t="s">
        <v>10</v>
      </c>
      <c r="E1207" t="s">
        <v>480</v>
      </c>
      <c r="F1207" t="s">
        <v>158</v>
      </c>
      <c r="G1207" t="s">
        <v>346</v>
      </c>
      <c r="I1207" s="37">
        <v>746.99</v>
      </c>
      <c r="K1207" s="37">
        <v>150.61000000000001</v>
      </c>
      <c r="L1207" s="37">
        <v>596.38</v>
      </c>
      <c r="N1207" s="37">
        <v>596.38</v>
      </c>
    </row>
    <row r="1208" spans="1:14" x14ac:dyDescent="0.25">
      <c r="A1208" s="1">
        <v>46063</v>
      </c>
      <c r="B1208">
        <v>2</v>
      </c>
      <c r="C1208" t="s">
        <v>541</v>
      </c>
      <c r="D1208" t="s">
        <v>10</v>
      </c>
      <c r="E1208" t="s">
        <v>481</v>
      </c>
      <c r="F1208" t="s">
        <v>41</v>
      </c>
      <c r="G1208" t="s">
        <v>398</v>
      </c>
      <c r="I1208" s="37">
        <v>746.99</v>
      </c>
      <c r="L1208" s="37">
        <v>746.99</v>
      </c>
      <c r="N1208" s="37">
        <v>746.99</v>
      </c>
    </row>
    <row r="1209" spans="1:14" x14ac:dyDescent="0.25">
      <c r="A1209" s="1">
        <v>46063</v>
      </c>
      <c r="B1209">
        <v>2</v>
      </c>
      <c r="C1209" t="s">
        <v>541</v>
      </c>
      <c r="D1209" t="s">
        <v>10</v>
      </c>
      <c r="E1209" t="s">
        <v>483</v>
      </c>
      <c r="F1209" t="s">
        <v>158</v>
      </c>
      <c r="G1209" t="s">
        <v>346</v>
      </c>
      <c r="I1209" s="37">
        <v>746.99</v>
      </c>
      <c r="K1209" s="37">
        <v>2.99</v>
      </c>
      <c r="L1209" s="37">
        <v>744</v>
      </c>
      <c r="N1209" s="37">
        <v>744</v>
      </c>
    </row>
    <row r="1210" spans="1:14" x14ac:dyDescent="0.25">
      <c r="A1210" s="1">
        <v>46063</v>
      </c>
      <c r="B1210">
        <v>2</v>
      </c>
      <c r="C1210" t="s">
        <v>541</v>
      </c>
      <c r="D1210" t="s">
        <v>10</v>
      </c>
      <c r="E1210" t="s">
        <v>484</v>
      </c>
      <c r="F1210" t="s">
        <v>158</v>
      </c>
      <c r="G1210" t="s">
        <v>346</v>
      </c>
      <c r="I1210" s="37">
        <v>746.99</v>
      </c>
      <c r="K1210" s="37">
        <v>0.99</v>
      </c>
      <c r="L1210" s="37">
        <v>746</v>
      </c>
      <c r="N1210" s="37">
        <v>746</v>
      </c>
    </row>
    <row r="1211" spans="1:14" x14ac:dyDescent="0.25">
      <c r="A1211" s="1">
        <v>46063</v>
      </c>
      <c r="B1211">
        <v>2</v>
      </c>
      <c r="C1211" t="s">
        <v>541</v>
      </c>
      <c r="D1211" t="s">
        <v>10</v>
      </c>
      <c r="E1211" t="s">
        <v>485</v>
      </c>
      <c r="F1211" t="s">
        <v>37</v>
      </c>
      <c r="G1211" t="s">
        <v>346</v>
      </c>
      <c r="I1211" s="37">
        <v>746.99</v>
      </c>
      <c r="L1211" s="37">
        <v>746.99</v>
      </c>
      <c r="N1211" s="37">
        <v>746.99</v>
      </c>
    </row>
    <row r="1212" spans="1:14" x14ac:dyDescent="0.25">
      <c r="A1212" s="1">
        <v>46063</v>
      </c>
      <c r="B1212">
        <v>2</v>
      </c>
      <c r="C1212" t="s">
        <v>541</v>
      </c>
      <c r="D1212" t="s">
        <v>10</v>
      </c>
      <c r="E1212" t="s">
        <v>486</v>
      </c>
      <c r="F1212" t="s">
        <v>52</v>
      </c>
      <c r="G1212" t="s">
        <v>346</v>
      </c>
      <c r="I1212" s="37">
        <v>1251.99</v>
      </c>
      <c r="J1212" s="37">
        <v>90</v>
      </c>
      <c r="L1212" s="37">
        <v>1341.99</v>
      </c>
      <c r="N1212" s="37">
        <v>1341.99</v>
      </c>
    </row>
    <row r="1213" spans="1:14" x14ac:dyDescent="0.25">
      <c r="A1213" s="1">
        <v>46063</v>
      </c>
      <c r="B1213">
        <v>2</v>
      </c>
      <c r="C1213" t="s">
        <v>541</v>
      </c>
      <c r="D1213" t="s">
        <v>10</v>
      </c>
      <c r="E1213" t="s">
        <v>487</v>
      </c>
      <c r="F1213" t="s">
        <v>52</v>
      </c>
      <c r="G1213" t="s">
        <v>359</v>
      </c>
      <c r="I1213" s="37">
        <v>1251.99</v>
      </c>
      <c r="J1213" s="37">
        <v>30</v>
      </c>
      <c r="L1213" s="37">
        <v>1281.99</v>
      </c>
      <c r="N1213" s="37">
        <v>1281.99</v>
      </c>
    </row>
    <row r="1214" spans="1:14" x14ac:dyDescent="0.25">
      <c r="A1214" s="1">
        <v>46063</v>
      </c>
      <c r="B1214">
        <v>2</v>
      </c>
      <c r="C1214" t="s">
        <v>541</v>
      </c>
      <c r="D1214" t="s">
        <v>10</v>
      </c>
      <c r="E1214" t="s">
        <v>488</v>
      </c>
      <c r="F1214" t="s">
        <v>407</v>
      </c>
      <c r="G1214" t="s">
        <v>346</v>
      </c>
      <c r="I1214" s="37">
        <v>801.99</v>
      </c>
      <c r="K1214" s="37">
        <v>1.99</v>
      </c>
      <c r="L1214" s="37">
        <v>800</v>
      </c>
      <c r="N1214" s="37">
        <v>800</v>
      </c>
    </row>
    <row r="1215" spans="1:14" x14ac:dyDescent="0.25">
      <c r="A1215" s="1">
        <v>46063</v>
      </c>
      <c r="B1215">
        <v>2</v>
      </c>
      <c r="C1215" t="s">
        <v>541</v>
      </c>
      <c r="D1215" t="s">
        <v>10</v>
      </c>
      <c r="E1215" t="s">
        <v>489</v>
      </c>
      <c r="F1215" t="s">
        <v>52</v>
      </c>
      <c r="G1215" t="s">
        <v>346</v>
      </c>
      <c r="I1215" s="37">
        <v>1251.99</v>
      </c>
      <c r="K1215" s="37">
        <v>1.99</v>
      </c>
      <c r="L1215" s="37">
        <v>1250</v>
      </c>
      <c r="N1215" s="37">
        <v>1250</v>
      </c>
    </row>
    <row r="1216" spans="1:14" x14ac:dyDescent="0.25">
      <c r="A1216" s="1">
        <v>46063</v>
      </c>
      <c r="B1216">
        <v>2</v>
      </c>
      <c r="C1216" t="s">
        <v>541</v>
      </c>
      <c r="D1216" t="s">
        <v>10</v>
      </c>
      <c r="E1216" t="s">
        <v>490</v>
      </c>
      <c r="F1216" t="s">
        <v>403</v>
      </c>
      <c r="G1216" t="s">
        <v>346</v>
      </c>
      <c r="I1216" s="37">
        <v>931.99</v>
      </c>
      <c r="K1216" s="37">
        <v>798.85</v>
      </c>
      <c r="L1216" s="37">
        <v>133.13999999999999</v>
      </c>
      <c r="N1216" s="37">
        <v>133.13999999999999</v>
      </c>
    </row>
    <row r="1217" spans="1:14" x14ac:dyDescent="0.25">
      <c r="A1217" s="1">
        <v>46063</v>
      </c>
      <c r="B1217">
        <v>2</v>
      </c>
      <c r="C1217" t="s">
        <v>541</v>
      </c>
      <c r="D1217" t="s">
        <v>10</v>
      </c>
      <c r="E1217" t="s">
        <v>496</v>
      </c>
      <c r="F1217" t="s">
        <v>403</v>
      </c>
      <c r="G1217" t="s">
        <v>346</v>
      </c>
      <c r="I1217" s="37">
        <v>1000</v>
      </c>
      <c r="L1217" s="37">
        <v>1000</v>
      </c>
      <c r="N1217" s="37">
        <v>1000</v>
      </c>
    </row>
    <row r="1218" spans="1:14" x14ac:dyDescent="0.25">
      <c r="A1218" s="1">
        <v>46063</v>
      </c>
      <c r="B1218">
        <v>2</v>
      </c>
      <c r="C1218" t="s">
        <v>541</v>
      </c>
      <c r="D1218" t="s">
        <v>10</v>
      </c>
      <c r="E1218" t="s">
        <v>491</v>
      </c>
      <c r="F1218" t="s">
        <v>403</v>
      </c>
      <c r="G1218" t="s">
        <v>346</v>
      </c>
      <c r="I1218" s="37">
        <v>1001.99</v>
      </c>
      <c r="J1218" s="37">
        <v>210.01</v>
      </c>
      <c r="L1218" s="37">
        <v>1212</v>
      </c>
      <c r="N1218" s="37">
        <v>1212</v>
      </c>
    </row>
    <row r="1219" spans="1:14" x14ac:dyDescent="0.25">
      <c r="A1219" s="1">
        <v>46063</v>
      </c>
      <c r="B1219">
        <v>2</v>
      </c>
      <c r="C1219" t="s">
        <v>541</v>
      </c>
      <c r="D1219" t="s">
        <v>10</v>
      </c>
      <c r="E1219" t="s">
        <v>494</v>
      </c>
      <c r="F1219" t="s">
        <v>69</v>
      </c>
      <c r="G1219" t="s">
        <v>349</v>
      </c>
      <c r="I1219" s="37">
        <v>801.99</v>
      </c>
      <c r="L1219" s="37">
        <v>801.99</v>
      </c>
      <c r="N1219" s="37">
        <v>801.99</v>
      </c>
    </row>
    <row r="1220" spans="1:14" x14ac:dyDescent="0.25">
      <c r="A1220" s="1">
        <v>46063</v>
      </c>
      <c r="B1220">
        <v>2</v>
      </c>
      <c r="C1220" t="s">
        <v>541</v>
      </c>
      <c r="D1220" t="s">
        <v>10</v>
      </c>
      <c r="E1220" t="s">
        <v>492</v>
      </c>
      <c r="F1220" t="s">
        <v>28</v>
      </c>
      <c r="G1220" t="s">
        <v>493</v>
      </c>
      <c r="I1220" s="37">
        <v>931.99</v>
      </c>
      <c r="J1220" s="37">
        <v>30</v>
      </c>
      <c r="L1220" s="37">
        <v>961.99</v>
      </c>
      <c r="N1220" s="37">
        <v>961.99</v>
      </c>
    </row>
    <row r="1221" spans="1:14" x14ac:dyDescent="0.25">
      <c r="A1221" s="1">
        <v>46063</v>
      </c>
      <c r="B1221">
        <v>2</v>
      </c>
      <c r="C1221" t="s">
        <v>541</v>
      </c>
      <c r="D1221" t="s">
        <v>10</v>
      </c>
      <c r="E1221" t="s">
        <v>702</v>
      </c>
      <c r="F1221" t="s">
        <v>55</v>
      </c>
      <c r="G1221" t="s">
        <v>349</v>
      </c>
      <c r="I1221" s="37">
        <v>746.99</v>
      </c>
      <c r="L1221" s="37">
        <v>746.99</v>
      </c>
      <c r="N1221" s="37">
        <v>746.99</v>
      </c>
    </row>
    <row r="1222" spans="1:14" x14ac:dyDescent="0.25">
      <c r="A1222" s="1">
        <v>46063</v>
      </c>
      <c r="B1222">
        <v>2</v>
      </c>
      <c r="C1222" t="s">
        <v>541</v>
      </c>
      <c r="D1222" t="s">
        <v>10</v>
      </c>
      <c r="E1222" t="s">
        <v>502</v>
      </c>
      <c r="F1222" t="s">
        <v>55</v>
      </c>
      <c r="G1222" t="s">
        <v>346</v>
      </c>
      <c r="I1222" s="37">
        <v>746.99</v>
      </c>
      <c r="J1222" s="37">
        <v>0.01</v>
      </c>
      <c r="L1222" s="37">
        <v>747</v>
      </c>
      <c r="N1222" s="37">
        <v>746.99</v>
      </c>
    </row>
    <row r="1223" spans="1:14" x14ac:dyDescent="0.25">
      <c r="A1223" s="1">
        <v>46063</v>
      </c>
      <c r="B1223">
        <v>2</v>
      </c>
      <c r="C1223" t="s">
        <v>541</v>
      </c>
      <c r="D1223" t="s">
        <v>10</v>
      </c>
      <c r="E1223" t="s">
        <v>417</v>
      </c>
      <c r="F1223" t="s">
        <v>52</v>
      </c>
      <c r="G1223" t="s">
        <v>359</v>
      </c>
      <c r="I1223" s="37">
        <v>1251.99</v>
      </c>
      <c r="K1223" s="37">
        <v>1.99</v>
      </c>
      <c r="L1223" s="37">
        <v>1250</v>
      </c>
      <c r="N1223" s="37">
        <v>1250</v>
      </c>
    </row>
    <row r="1224" spans="1:14" x14ac:dyDescent="0.25">
      <c r="A1224" s="1">
        <v>46063</v>
      </c>
      <c r="B1224">
        <v>2</v>
      </c>
      <c r="C1224" t="s">
        <v>541</v>
      </c>
      <c r="D1224" t="s">
        <v>10</v>
      </c>
      <c r="E1224" t="s">
        <v>318</v>
      </c>
      <c r="F1224" t="s">
        <v>12</v>
      </c>
      <c r="G1224" t="s">
        <v>346</v>
      </c>
      <c r="I1224" s="37">
        <v>746.99</v>
      </c>
      <c r="J1224" s="37">
        <v>3.01</v>
      </c>
      <c r="L1224" s="37">
        <v>750</v>
      </c>
      <c r="N1224" s="37">
        <v>750</v>
      </c>
    </row>
    <row r="1225" spans="1:14" x14ac:dyDescent="0.25">
      <c r="A1225" s="1">
        <v>46063</v>
      </c>
      <c r="B1225">
        <v>2</v>
      </c>
      <c r="C1225" t="s">
        <v>541</v>
      </c>
      <c r="D1225" t="s">
        <v>10</v>
      </c>
      <c r="E1225" t="s">
        <v>497</v>
      </c>
      <c r="F1225" t="s">
        <v>498</v>
      </c>
      <c r="G1225" t="s">
        <v>349</v>
      </c>
      <c r="I1225" s="37">
        <v>901.99</v>
      </c>
      <c r="J1225" s="37">
        <v>0.01</v>
      </c>
      <c r="L1225" s="37">
        <v>902</v>
      </c>
      <c r="N1225" s="37">
        <v>902</v>
      </c>
    </row>
    <row r="1226" spans="1:14" x14ac:dyDescent="0.25">
      <c r="A1226" s="1">
        <v>46063</v>
      </c>
      <c r="B1226">
        <v>2</v>
      </c>
      <c r="C1226" t="s">
        <v>542</v>
      </c>
      <c r="D1226" t="s">
        <v>89</v>
      </c>
      <c r="E1226" t="s">
        <v>504</v>
      </c>
      <c r="F1226" t="s">
        <v>37</v>
      </c>
      <c r="G1226" t="s">
        <v>420</v>
      </c>
      <c r="I1226" s="37">
        <v>746.99</v>
      </c>
      <c r="L1226" s="37">
        <v>746.99</v>
      </c>
      <c r="M1226" s="37">
        <v>332.08</v>
      </c>
    </row>
    <row r="1227" spans="1:14" x14ac:dyDescent="0.25">
      <c r="A1227" s="1">
        <v>46063</v>
      </c>
      <c r="B1227">
        <v>2</v>
      </c>
      <c r="C1227" t="s">
        <v>541</v>
      </c>
      <c r="D1227" t="s">
        <v>10</v>
      </c>
      <c r="E1227" t="s">
        <v>536</v>
      </c>
      <c r="F1227" t="s">
        <v>52</v>
      </c>
      <c r="G1227" t="s">
        <v>359</v>
      </c>
      <c r="I1227" s="37">
        <v>1251.99</v>
      </c>
      <c r="J1227" s="37">
        <v>37.01</v>
      </c>
      <c r="L1227" s="37">
        <v>1289</v>
      </c>
      <c r="N1227" s="37">
        <v>1289</v>
      </c>
    </row>
    <row r="1228" spans="1:14" x14ac:dyDescent="0.25">
      <c r="A1228" s="1">
        <v>46063</v>
      </c>
      <c r="B1228">
        <v>2</v>
      </c>
      <c r="C1228" t="s">
        <v>541</v>
      </c>
      <c r="D1228" t="s">
        <v>10</v>
      </c>
      <c r="E1228" t="s">
        <v>518</v>
      </c>
      <c r="F1228" t="s">
        <v>385</v>
      </c>
      <c r="G1228" t="s">
        <v>349</v>
      </c>
      <c r="I1228" s="37">
        <v>801.99</v>
      </c>
      <c r="L1228" s="37">
        <v>846.99</v>
      </c>
      <c r="N1228" s="37">
        <v>801.99</v>
      </c>
    </row>
    <row r="1229" spans="1:14" x14ac:dyDescent="0.25">
      <c r="A1229" s="1">
        <v>46063</v>
      </c>
      <c r="B1229">
        <v>2</v>
      </c>
      <c r="C1229" t="s">
        <v>541</v>
      </c>
      <c r="D1229" t="s">
        <v>10</v>
      </c>
      <c r="E1229" t="s">
        <v>473</v>
      </c>
      <c r="F1229" t="s">
        <v>158</v>
      </c>
      <c r="G1229" t="s">
        <v>346</v>
      </c>
      <c r="I1229" s="37">
        <v>746.99</v>
      </c>
      <c r="L1229" s="37">
        <v>791.99</v>
      </c>
      <c r="N1229" s="37">
        <v>746.99</v>
      </c>
    </row>
    <row r="1230" spans="1:14" x14ac:dyDescent="0.25">
      <c r="A1230" s="1">
        <v>46063</v>
      </c>
      <c r="B1230">
        <v>2</v>
      </c>
      <c r="C1230" t="s">
        <v>541</v>
      </c>
      <c r="D1230" t="s">
        <v>10</v>
      </c>
      <c r="E1230" t="s">
        <v>475</v>
      </c>
      <c r="F1230" t="s">
        <v>37</v>
      </c>
      <c r="G1230" t="s">
        <v>467</v>
      </c>
      <c r="I1230" s="37">
        <v>746.99</v>
      </c>
      <c r="L1230" s="37">
        <v>791.99</v>
      </c>
      <c r="N1230" s="37">
        <v>746.99</v>
      </c>
    </row>
    <row r="1231" spans="1:14" x14ac:dyDescent="0.25">
      <c r="A1231" s="1">
        <v>46063</v>
      </c>
      <c r="B1231">
        <v>2</v>
      </c>
      <c r="C1231" t="s">
        <v>541</v>
      </c>
      <c r="D1231" t="s">
        <v>10</v>
      </c>
      <c r="E1231" t="s">
        <v>476</v>
      </c>
      <c r="F1231" t="s">
        <v>158</v>
      </c>
      <c r="G1231" t="s">
        <v>346</v>
      </c>
      <c r="I1231" s="37">
        <v>746.99</v>
      </c>
      <c r="L1231" s="37">
        <v>791.99</v>
      </c>
      <c r="N1231" s="37">
        <v>746.99</v>
      </c>
    </row>
    <row r="1232" spans="1:14" x14ac:dyDescent="0.25">
      <c r="A1232" s="1">
        <v>46063</v>
      </c>
      <c r="B1232">
        <v>2</v>
      </c>
      <c r="C1232" t="s">
        <v>541</v>
      </c>
      <c r="D1232" t="s">
        <v>10</v>
      </c>
      <c r="E1232" t="s">
        <v>511</v>
      </c>
      <c r="F1232" t="s">
        <v>512</v>
      </c>
      <c r="G1232" t="s">
        <v>346</v>
      </c>
      <c r="I1232" s="37">
        <v>746.99</v>
      </c>
      <c r="L1232" s="37">
        <v>791.99</v>
      </c>
      <c r="N1232" s="37">
        <v>746.99</v>
      </c>
    </row>
    <row r="1233" spans="1:14" x14ac:dyDescent="0.25">
      <c r="A1233" s="1">
        <v>46063</v>
      </c>
      <c r="B1233">
        <v>2</v>
      </c>
      <c r="C1233" t="s">
        <v>541</v>
      </c>
      <c r="D1233" t="s">
        <v>10</v>
      </c>
      <c r="E1233" t="s">
        <v>516</v>
      </c>
      <c r="F1233" t="s">
        <v>517</v>
      </c>
      <c r="G1233" t="s">
        <v>349</v>
      </c>
      <c r="I1233" s="37">
        <v>801.99</v>
      </c>
      <c r="L1233" s="37">
        <v>846.99</v>
      </c>
      <c r="N1233" s="37">
        <v>801.99</v>
      </c>
    </row>
    <row r="1234" spans="1:14" x14ac:dyDescent="0.25">
      <c r="A1234" s="1">
        <v>46063</v>
      </c>
      <c r="B1234">
        <v>2</v>
      </c>
      <c r="C1234" t="s">
        <v>541</v>
      </c>
      <c r="D1234" t="s">
        <v>10</v>
      </c>
      <c r="E1234" t="s">
        <v>322</v>
      </c>
      <c r="F1234" t="s">
        <v>158</v>
      </c>
      <c r="G1234" t="s">
        <v>346</v>
      </c>
      <c r="I1234" s="37">
        <v>746.99</v>
      </c>
      <c r="L1234" s="37">
        <v>791.99</v>
      </c>
      <c r="N1234" s="37">
        <v>746.99</v>
      </c>
    </row>
    <row r="1235" spans="1:14" x14ac:dyDescent="0.25">
      <c r="A1235" s="1">
        <v>46063</v>
      </c>
      <c r="B1235">
        <v>2</v>
      </c>
      <c r="C1235" t="s">
        <v>541</v>
      </c>
      <c r="D1235" t="s">
        <v>10</v>
      </c>
      <c r="E1235" t="s">
        <v>323</v>
      </c>
      <c r="F1235" t="s">
        <v>158</v>
      </c>
      <c r="G1235" t="s">
        <v>346</v>
      </c>
      <c r="I1235" s="37">
        <v>746.99</v>
      </c>
      <c r="L1235" s="37">
        <v>791.99</v>
      </c>
      <c r="N1235" s="37">
        <v>746.99</v>
      </c>
    </row>
    <row r="1236" spans="1:14" x14ac:dyDescent="0.25">
      <c r="A1236" s="1">
        <v>46063</v>
      </c>
      <c r="B1236">
        <v>2</v>
      </c>
      <c r="C1236" t="s">
        <v>541</v>
      </c>
      <c r="D1236" t="s">
        <v>10</v>
      </c>
      <c r="E1236" t="s">
        <v>533</v>
      </c>
      <c r="F1236" t="s">
        <v>211</v>
      </c>
      <c r="G1236" t="s">
        <v>346</v>
      </c>
      <c r="I1236" s="37">
        <v>746.99</v>
      </c>
      <c r="L1236" s="37">
        <v>791.99</v>
      </c>
      <c r="N1236" s="37">
        <v>746.99</v>
      </c>
    </row>
    <row r="1237" spans="1:14" x14ac:dyDescent="0.25">
      <c r="A1237" s="1">
        <v>46063</v>
      </c>
      <c r="B1237">
        <v>2</v>
      </c>
      <c r="C1237" t="s">
        <v>541</v>
      </c>
      <c r="D1237" t="s">
        <v>10</v>
      </c>
      <c r="E1237" t="s">
        <v>711</v>
      </c>
      <c r="F1237" t="s">
        <v>383</v>
      </c>
      <c r="G1237" t="s">
        <v>370</v>
      </c>
      <c r="I1237" s="37">
        <v>991.99</v>
      </c>
      <c r="J1237" s="37">
        <v>0.01</v>
      </c>
      <c r="L1237" s="37">
        <v>1487</v>
      </c>
      <c r="N1237" s="37">
        <v>992</v>
      </c>
    </row>
    <row r="1238" spans="1:14" x14ac:dyDescent="0.25">
      <c r="A1238" s="1">
        <v>46063</v>
      </c>
      <c r="B1238">
        <v>2</v>
      </c>
      <c r="C1238" t="s">
        <v>541</v>
      </c>
      <c r="D1238" t="s">
        <v>10</v>
      </c>
      <c r="E1238" t="s">
        <v>712</v>
      </c>
      <c r="F1238" t="s">
        <v>383</v>
      </c>
      <c r="G1238" t="s">
        <v>370</v>
      </c>
      <c r="I1238" s="37">
        <v>991.99</v>
      </c>
      <c r="L1238" s="37">
        <v>1100</v>
      </c>
      <c r="N1238" s="37">
        <v>991.99</v>
      </c>
    </row>
    <row r="1239" spans="1:14" x14ac:dyDescent="0.25">
      <c r="A1239" s="1">
        <v>46063</v>
      </c>
      <c r="B1239">
        <v>2</v>
      </c>
      <c r="C1239" t="s">
        <v>542</v>
      </c>
      <c r="D1239" t="s">
        <v>99</v>
      </c>
      <c r="E1239" t="s">
        <v>368</v>
      </c>
      <c r="F1239" t="s">
        <v>369</v>
      </c>
      <c r="G1239" t="s">
        <v>370</v>
      </c>
      <c r="I1239" s="37">
        <v>981.99</v>
      </c>
      <c r="L1239" s="37">
        <v>981.99</v>
      </c>
    </row>
    <row r="1240" spans="1:14" x14ac:dyDescent="0.25">
      <c r="A1240" s="1">
        <v>46063</v>
      </c>
      <c r="B1240">
        <v>2</v>
      </c>
      <c r="C1240" t="s">
        <v>542</v>
      </c>
      <c r="D1240" t="s">
        <v>99</v>
      </c>
      <c r="E1240" t="s">
        <v>394</v>
      </c>
      <c r="F1240" t="s">
        <v>230</v>
      </c>
      <c r="G1240" t="s">
        <v>346</v>
      </c>
      <c r="I1240" s="37">
        <v>746.99</v>
      </c>
      <c r="L1240" s="37">
        <v>746.99</v>
      </c>
    </row>
    <row r="1241" spans="1:14" x14ac:dyDescent="0.25">
      <c r="A1241" s="1">
        <v>46063</v>
      </c>
      <c r="B1241">
        <v>2</v>
      </c>
      <c r="C1241" t="s">
        <v>542</v>
      </c>
      <c r="D1241" t="s">
        <v>336</v>
      </c>
      <c r="E1241" t="s">
        <v>521</v>
      </c>
      <c r="F1241" t="s">
        <v>522</v>
      </c>
      <c r="G1241" t="s">
        <v>523</v>
      </c>
      <c r="I1241" s="37">
        <v>851.99</v>
      </c>
      <c r="L1241" s="37">
        <v>851.99</v>
      </c>
    </row>
    <row r="1242" spans="1:14" x14ac:dyDescent="0.25">
      <c r="A1242" s="1">
        <v>46063</v>
      </c>
      <c r="B1242">
        <v>2</v>
      </c>
      <c r="C1242" t="s">
        <v>542</v>
      </c>
      <c r="D1242" t="s">
        <v>99</v>
      </c>
      <c r="E1242" t="s">
        <v>421</v>
      </c>
      <c r="F1242" t="s">
        <v>422</v>
      </c>
      <c r="G1242" t="s">
        <v>346</v>
      </c>
      <c r="I1242" s="37">
        <v>1251.99</v>
      </c>
      <c r="L1242" s="37">
        <v>1251.99</v>
      </c>
    </row>
    <row r="1243" spans="1:14" x14ac:dyDescent="0.25">
      <c r="A1243" s="1">
        <v>46063</v>
      </c>
      <c r="B1243">
        <v>2</v>
      </c>
      <c r="C1243" t="s">
        <v>542</v>
      </c>
      <c r="D1243" t="s">
        <v>99</v>
      </c>
      <c r="E1243" t="s">
        <v>317</v>
      </c>
      <c r="F1243" t="s">
        <v>101</v>
      </c>
      <c r="G1243" t="s">
        <v>346</v>
      </c>
      <c r="I1243" s="37">
        <v>1351.99</v>
      </c>
      <c r="L1243" s="37">
        <v>1351.99</v>
      </c>
    </row>
    <row r="1244" spans="1:14" x14ac:dyDescent="0.25">
      <c r="A1244" s="1">
        <v>46063</v>
      </c>
      <c r="B1244">
        <v>2</v>
      </c>
      <c r="C1244" t="s">
        <v>542</v>
      </c>
      <c r="D1244" t="s">
        <v>89</v>
      </c>
      <c r="E1244" t="s">
        <v>495</v>
      </c>
      <c r="F1244" t="s">
        <v>33</v>
      </c>
      <c r="G1244" t="s">
        <v>349</v>
      </c>
      <c r="I1244" s="37">
        <v>901.99</v>
      </c>
      <c r="J1244" s="37">
        <v>30</v>
      </c>
      <c r="L1244" s="37">
        <v>931.99</v>
      </c>
    </row>
    <row r="1245" spans="1:14" x14ac:dyDescent="0.25">
      <c r="A1245" s="1">
        <v>46063</v>
      </c>
      <c r="B1245">
        <v>2</v>
      </c>
      <c r="C1245" t="s">
        <v>542</v>
      </c>
      <c r="D1245" t="s">
        <v>336</v>
      </c>
      <c r="E1245" t="s">
        <v>367</v>
      </c>
      <c r="F1245" t="s">
        <v>52</v>
      </c>
      <c r="G1245" t="s">
        <v>346</v>
      </c>
      <c r="I1245" s="37">
        <v>1251.99</v>
      </c>
      <c r="L1245" s="37">
        <v>1251.99</v>
      </c>
    </row>
    <row r="1246" spans="1:14" x14ac:dyDescent="0.25">
      <c r="A1246" s="1">
        <v>46063</v>
      </c>
      <c r="B1246">
        <v>2</v>
      </c>
      <c r="C1246" t="s">
        <v>541</v>
      </c>
      <c r="D1246" t="s">
        <v>10</v>
      </c>
      <c r="E1246" t="s">
        <v>436</v>
      </c>
      <c r="F1246" t="s">
        <v>116</v>
      </c>
      <c r="G1246" t="s">
        <v>346</v>
      </c>
      <c r="I1246" s="37">
        <v>746.99</v>
      </c>
      <c r="L1246" s="37">
        <v>791.99</v>
      </c>
      <c r="N1246" s="37">
        <v>746.99</v>
      </c>
    </row>
    <row r="1247" spans="1:14" x14ac:dyDescent="0.25">
      <c r="A1247" s="1">
        <v>46063</v>
      </c>
      <c r="B1247">
        <v>2</v>
      </c>
      <c r="C1247" t="s">
        <v>542</v>
      </c>
      <c r="D1247" t="s">
        <v>99</v>
      </c>
      <c r="E1247" t="s">
        <v>509</v>
      </c>
      <c r="F1247" t="s">
        <v>12</v>
      </c>
      <c r="G1247" t="s">
        <v>346</v>
      </c>
      <c r="I1247" s="37">
        <v>746.99</v>
      </c>
      <c r="L1247" s="37">
        <v>746.99</v>
      </c>
    </row>
    <row r="1248" spans="1:14" x14ac:dyDescent="0.25">
      <c r="A1248" s="1">
        <v>46063</v>
      </c>
      <c r="B1248">
        <v>2</v>
      </c>
      <c r="C1248" t="s">
        <v>542</v>
      </c>
      <c r="D1248" t="s">
        <v>99</v>
      </c>
      <c r="E1248" t="s">
        <v>513</v>
      </c>
      <c r="F1248" t="s">
        <v>514</v>
      </c>
      <c r="G1248" t="s">
        <v>515</v>
      </c>
      <c r="I1248" s="37">
        <v>746.99</v>
      </c>
      <c r="L1248" s="37">
        <v>746.99</v>
      </c>
    </row>
    <row r="1249" spans="1:14" x14ac:dyDescent="0.25">
      <c r="A1249" s="1">
        <v>46063</v>
      </c>
      <c r="B1249">
        <v>2</v>
      </c>
      <c r="C1249" t="s">
        <v>542</v>
      </c>
      <c r="D1249" t="s">
        <v>99</v>
      </c>
      <c r="E1249" t="s">
        <v>527</v>
      </c>
      <c r="F1249" t="s">
        <v>158</v>
      </c>
      <c r="G1249" t="s">
        <v>346</v>
      </c>
      <c r="I1249" s="37">
        <v>746.99</v>
      </c>
      <c r="L1249" s="37">
        <v>746.99</v>
      </c>
    </row>
    <row r="1250" spans="1:14" x14ac:dyDescent="0.25">
      <c r="A1250" s="1">
        <v>46063</v>
      </c>
      <c r="B1250">
        <v>2</v>
      </c>
      <c r="C1250" t="s">
        <v>542</v>
      </c>
      <c r="D1250" t="s">
        <v>99</v>
      </c>
      <c r="E1250" t="s">
        <v>320</v>
      </c>
      <c r="F1250" t="s">
        <v>55</v>
      </c>
      <c r="G1250" t="s">
        <v>346</v>
      </c>
      <c r="I1250" s="37">
        <v>746.99</v>
      </c>
      <c r="L1250" s="37">
        <v>746.99</v>
      </c>
    </row>
    <row r="1251" spans="1:14" x14ac:dyDescent="0.25">
      <c r="A1251" s="1">
        <v>46063</v>
      </c>
      <c r="B1251">
        <v>2</v>
      </c>
      <c r="C1251" t="s">
        <v>542</v>
      </c>
      <c r="D1251" t="s">
        <v>336</v>
      </c>
      <c r="E1251" t="s">
        <v>528</v>
      </c>
      <c r="F1251" t="s">
        <v>158</v>
      </c>
      <c r="G1251" t="s">
        <v>346</v>
      </c>
      <c r="I1251" s="37">
        <v>746.99</v>
      </c>
      <c r="L1251" s="37">
        <v>746.99</v>
      </c>
    </row>
    <row r="1252" spans="1:14" x14ac:dyDescent="0.25">
      <c r="A1252" s="1">
        <v>46063</v>
      </c>
      <c r="B1252">
        <v>2</v>
      </c>
      <c r="C1252" t="s">
        <v>542</v>
      </c>
      <c r="D1252" t="s">
        <v>99</v>
      </c>
      <c r="E1252" t="s">
        <v>321</v>
      </c>
      <c r="F1252" t="s">
        <v>158</v>
      </c>
      <c r="G1252" t="s">
        <v>346</v>
      </c>
      <c r="I1252" s="37">
        <v>746.99</v>
      </c>
      <c r="L1252" s="37">
        <v>746.99</v>
      </c>
    </row>
    <row r="1253" spans="1:14" x14ac:dyDescent="0.25">
      <c r="A1253" s="1">
        <v>46063</v>
      </c>
      <c r="B1253">
        <v>2</v>
      </c>
      <c r="C1253" t="s">
        <v>542</v>
      </c>
      <c r="D1253" t="s">
        <v>336</v>
      </c>
      <c r="E1253" t="s">
        <v>530</v>
      </c>
      <c r="F1253" t="s">
        <v>52</v>
      </c>
      <c r="G1253" t="s">
        <v>515</v>
      </c>
      <c r="I1253" s="37">
        <v>1251.99</v>
      </c>
      <c r="L1253" s="37">
        <v>1251.99</v>
      </c>
    </row>
    <row r="1254" spans="1:14" x14ac:dyDescent="0.25">
      <c r="A1254" s="1">
        <v>46063</v>
      </c>
      <c r="B1254">
        <v>2</v>
      </c>
      <c r="C1254" t="s">
        <v>542</v>
      </c>
      <c r="D1254" t="s">
        <v>99</v>
      </c>
      <c r="E1254" t="s">
        <v>534</v>
      </c>
      <c r="F1254" t="s">
        <v>535</v>
      </c>
      <c r="G1254" t="s">
        <v>493</v>
      </c>
      <c r="I1254" s="37"/>
      <c r="L1254" s="37">
        <v>0</v>
      </c>
    </row>
    <row r="1255" spans="1:14" x14ac:dyDescent="0.25">
      <c r="A1255" s="1">
        <v>46063</v>
      </c>
      <c r="B1255">
        <v>2</v>
      </c>
      <c r="C1255" t="s">
        <v>542</v>
      </c>
      <c r="D1255" t="s">
        <v>336</v>
      </c>
      <c r="E1255" t="s">
        <v>537</v>
      </c>
      <c r="F1255" t="s">
        <v>407</v>
      </c>
      <c r="G1255" t="s">
        <v>346</v>
      </c>
      <c r="I1255" s="37">
        <v>801.99</v>
      </c>
      <c r="L1255" s="37">
        <v>801.99</v>
      </c>
    </row>
    <row r="1256" spans="1:14" x14ac:dyDescent="0.25">
      <c r="A1256" s="1">
        <v>46063</v>
      </c>
      <c r="B1256">
        <v>2</v>
      </c>
      <c r="C1256" t="s">
        <v>542</v>
      </c>
      <c r="D1256" t="s">
        <v>99</v>
      </c>
      <c r="E1256" t="s">
        <v>51</v>
      </c>
      <c r="F1256" t="s">
        <v>52</v>
      </c>
      <c r="G1256" t="s">
        <v>346</v>
      </c>
      <c r="I1256" s="37">
        <v>1251.99</v>
      </c>
      <c r="L1256" s="37">
        <v>1251.99</v>
      </c>
    </row>
    <row r="1257" spans="1:14" x14ac:dyDescent="0.25">
      <c r="A1257" s="1">
        <v>46063</v>
      </c>
      <c r="B1257">
        <v>2</v>
      </c>
      <c r="C1257" t="s">
        <v>542</v>
      </c>
      <c r="D1257" t="s">
        <v>336</v>
      </c>
      <c r="E1257" t="s">
        <v>539</v>
      </c>
      <c r="F1257" t="s">
        <v>55</v>
      </c>
      <c r="G1257" t="s">
        <v>493</v>
      </c>
      <c r="I1257" s="37">
        <v>746.99</v>
      </c>
      <c r="L1257" s="37">
        <v>746.99</v>
      </c>
    </row>
    <row r="1258" spans="1:14" x14ac:dyDescent="0.25">
      <c r="A1258" s="1">
        <v>46077</v>
      </c>
      <c r="B1258">
        <v>4</v>
      </c>
      <c r="C1258" t="s">
        <v>541</v>
      </c>
      <c r="D1258" t="s">
        <v>10</v>
      </c>
      <c r="E1258" t="s">
        <v>51</v>
      </c>
      <c r="F1258" t="s">
        <v>52</v>
      </c>
      <c r="G1258" t="s">
        <v>13</v>
      </c>
      <c r="I1258" s="42">
        <v>1251.99</v>
      </c>
      <c r="J1258" s="42"/>
      <c r="K1258" s="42">
        <v>0.5</v>
      </c>
      <c r="L1258" s="42">
        <v>1746.49</v>
      </c>
      <c r="N1258" s="42">
        <v>1251.49</v>
      </c>
    </row>
    <row r="1259" spans="1:14" x14ac:dyDescent="0.25">
      <c r="A1259" s="1">
        <v>46077</v>
      </c>
      <c r="B1259">
        <v>4</v>
      </c>
      <c r="C1259" t="s">
        <v>541</v>
      </c>
      <c r="D1259" t="s">
        <v>10</v>
      </c>
      <c r="E1259" t="s">
        <v>305</v>
      </c>
      <c r="F1259" t="s">
        <v>41</v>
      </c>
      <c r="G1259" t="s">
        <v>111</v>
      </c>
      <c r="I1259" s="42">
        <v>746.99</v>
      </c>
      <c r="J1259" s="42"/>
      <c r="K1259" s="42"/>
      <c r="L1259" s="42">
        <v>1241.99</v>
      </c>
      <c r="N1259" s="42">
        <v>746.99</v>
      </c>
    </row>
    <row r="1260" spans="1:14" x14ac:dyDescent="0.25">
      <c r="A1260" s="1">
        <v>46077</v>
      </c>
      <c r="B1260">
        <v>4</v>
      </c>
      <c r="C1260" t="s">
        <v>541</v>
      </c>
      <c r="D1260" t="s">
        <v>10</v>
      </c>
      <c r="E1260" t="s">
        <v>75</v>
      </c>
      <c r="F1260" t="s">
        <v>76</v>
      </c>
      <c r="G1260" t="s">
        <v>77</v>
      </c>
      <c r="I1260" s="42">
        <v>1451.99</v>
      </c>
      <c r="J1260" s="42"/>
      <c r="K1260" s="42"/>
      <c r="L1260" s="42">
        <v>1946.99</v>
      </c>
      <c r="N1260" s="42">
        <v>1451.99</v>
      </c>
    </row>
    <row r="1261" spans="1:14" x14ac:dyDescent="0.25">
      <c r="A1261" s="1">
        <v>46077</v>
      </c>
      <c r="B1261">
        <v>4</v>
      </c>
      <c r="C1261" t="s">
        <v>541</v>
      </c>
      <c r="D1261" t="s">
        <v>10</v>
      </c>
      <c r="E1261" t="s">
        <v>320</v>
      </c>
      <c r="F1261" t="s">
        <v>55</v>
      </c>
      <c r="G1261" t="s">
        <v>13</v>
      </c>
      <c r="I1261" s="42">
        <v>746.99</v>
      </c>
      <c r="J1261" s="42"/>
      <c r="K1261" s="42"/>
      <c r="L1261" s="42">
        <v>791.99</v>
      </c>
      <c r="N1261" s="42">
        <v>746.99</v>
      </c>
    </row>
    <row r="1262" spans="1:14" x14ac:dyDescent="0.25">
      <c r="A1262" s="1">
        <v>46077</v>
      </c>
      <c r="B1262">
        <v>4</v>
      </c>
      <c r="C1262" t="s">
        <v>541</v>
      </c>
      <c r="D1262" t="s">
        <v>10</v>
      </c>
      <c r="E1262" t="s">
        <v>11</v>
      </c>
      <c r="F1262" t="s">
        <v>12</v>
      </c>
      <c r="G1262" t="s">
        <v>13</v>
      </c>
      <c r="I1262" s="42">
        <v>746.99</v>
      </c>
      <c r="J1262" s="42"/>
      <c r="K1262" s="42">
        <v>1.99</v>
      </c>
      <c r="L1262" s="42">
        <v>745</v>
      </c>
      <c r="N1262" s="42">
        <v>745</v>
      </c>
    </row>
    <row r="1263" spans="1:14" x14ac:dyDescent="0.25">
      <c r="A1263" s="1">
        <v>46077</v>
      </c>
      <c r="B1263">
        <v>4</v>
      </c>
      <c r="C1263" t="s">
        <v>541</v>
      </c>
      <c r="D1263" t="s">
        <v>10</v>
      </c>
      <c r="E1263" t="s">
        <v>15</v>
      </c>
      <c r="F1263" t="s">
        <v>16</v>
      </c>
      <c r="G1263" t="s">
        <v>13</v>
      </c>
      <c r="I1263" s="42">
        <v>1251.99</v>
      </c>
      <c r="J1263" s="42">
        <v>60.01</v>
      </c>
      <c r="K1263" s="42"/>
      <c r="L1263" s="42">
        <v>1312</v>
      </c>
      <c r="N1263" s="42">
        <v>1312</v>
      </c>
    </row>
    <row r="1264" spans="1:14" x14ac:dyDescent="0.25">
      <c r="A1264" s="1">
        <v>46077</v>
      </c>
      <c r="B1264">
        <v>4</v>
      </c>
      <c r="C1264" t="s">
        <v>541</v>
      </c>
      <c r="D1264" t="s">
        <v>10</v>
      </c>
      <c r="E1264" t="s">
        <v>18</v>
      </c>
      <c r="F1264" t="s">
        <v>12</v>
      </c>
      <c r="G1264" t="s">
        <v>13</v>
      </c>
      <c r="I1264" s="42">
        <v>746.99</v>
      </c>
      <c r="J1264" s="42"/>
      <c r="K1264" s="42"/>
      <c r="L1264" s="42">
        <v>746.99</v>
      </c>
      <c r="N1264" s="42">
        <v>746.99</v>
      </c>
    </row>
    <row r="1265" spans="1:14" x14ac:dyDescent="0.25">
      <c r="A1265" s="1">
        <v>46077</v>
      </c>
      <c r="B1265">
        <v>4</v>
      </c>
      <c r="C1265" t="s">
        <v>541</v>
      </c>
      <c r="D1265" t="s">
        <v>10</v>
      </c>
      <c r="E1265" t="s">
        <v>20</v>
      </c>
      <c r="F1265" t="s">
        <v>21</v>
      </c>
      <c r="G1265" t="s">
        <v>22</v>
      </c>
      <c r="I1265" s="42">
        <v>651.99</v>
      </c>
      <c r="J1265" s="42"/>
      <c r="K1265" s="42"/>
      <c r="L1265" s="42">
        <v>651.99</v>
      </c>
      <c r="N1265" s="42"/>
    </row>
    <row r="1266" spans="1:14" x14ac:dyDescent="0.25">
      <c r="A1266" s="1">
        <v>46077</v>
      </c>
      <c r="B1266">
        <v>4</v>
      </c>
      <c r="C1266" t="s">
        <v>541</v>
      </c>
      <c r="D1266" t="s">
        <v>10</v>
      </c>
      <c r="E1266" t="s">
        <v>27</v>
      </c>
      <c r="F1266" t="s">
        <v>28</v>
      </c>
      <c r="G1266" t="s">
        <v>13</v>
      </c>
      <c r="I1266" s="42">
        <v>931.99</v>
      </c>
      <c r="J1266" s="42"/>
      <c r="K1266" s="42">
        <v>1.99</v>
      </c>
      <c r="L1266" s="42">
        <v>930</v>
      </c>
      <c r="N1266" s="42">
        <v>930</v>
      </c>
    </row>
    <row r="1267" spans="1:14" x14ac:dyDescent="0.25">
      <c r="A1267" s="1">
        <v>46077</v>
      </c>
      <c r="B1267">
        <v>4</v>
      </c>
      <c r="C1267" t="s">
        <v>542</v>
      </c>
      <c r="D1267" t="s">
        <v>136</v>
      </c>
      <c r="E1267" t="s">
        <v>30</v>
      </c>
      <c r="F1267" t="s">
        <v>28</v>
      </c>
      <c r="G1267" t="s">
        <v>13</v>
      </c>
      <c r="I1267" s="42">
        <v>931.99</v>
      </c>
      <c r="J1267" s="42"/>
      <c r="K1267" s="42"/>
      <c r="L1267" s="42">
        <v>931.99</v>
      </c>
      <c r="N1267" s="42"/>
    </row>
    <row r="1268" spans="1:14" x14ac:dyDescent="0.25">
      <c r="A1268" s="1">
        <v>46077</v>
      </c>
      <c r="B1268">
        <v>4</v>
      </c>
      <c r="C1268" t="s">
        <v>541</v>
      </c>
      <c r="D1268" t="s">
        <v>10</v>
      </c>
      <c r="E1268" t="s">
        <v>32</v>
      </c>
      <c r="F1268" t="s">
        <v>33</v>
      </c>
      <c r="G1268" t="s">
        <v>13</v>
      </c>
      <c r="I1268" s="42">
        <v>851.99</v>
      </c>
      <c r="J1268" s="42"/>
      <c r="K1268" s="42">
        <v>121.71</v>
      </c>
      <c r="L1268" s="42">
        <v>730.28</v>
      </c>
      <c r="N1268" s="42">
        <v>730.28</v>
      </c>
    </row>
    <row r="1269" spans="1:14" x14ac:dyDescent="0.25">
      <c r="A1269" s="1">
        <v>46077</v>
      </c>
      <c r="B1269">
        <v>4</v>
      </c>
      <c r="C1269" t="s">
        <v>541</v>
      </c>
      <c r="D1269" t="s">
        <v>10</v>
      </c>
      <c r="E1269" t="s">
        <v>36</v>
      </c>
      <c r="F1269" t="s">
        <v>37</v>
      </c>
      <c r="G1269" t="s">
        <v>38</v>
      </c>
      <c r="I1269" s="42">
        <v>746.99</v>
      </c>
      <c r="J1269" s="42"/>
      <c r="K1269" s="42">
        <v>1.99</v>
      </c>
      <c r="L1269" s="42">
        <v>745</v>
      </c>
      <c r="N1269" s="42">
        <v>745</v>
      </c>
    </row>
    <row r="1270" spans="1:14" x14ac:dyDescent="0.25">
      <c r="A1270" s="1">
        <v>46077</v>
      </c>
      <c r="B1270">
        <v>4</v>
      </c>
      <c r="C1270" t="s">
        <v>541</v>
      </c>
      <c r="D1270" t="s">
        <v>10</v>
      </c>
      <c r="E1270" t="s">
        <v>40</v>
      </c>
      <c r="F1270" t="s">
        <v>41</v>
      </c>
      <c r="G1270" t="s">
        <v>42</v>
      </c>
      <c r="I1270" s="42">
        <v>746.99</v>
      </c>
      <c r="J1270" s="42">
        <v>3.01</v>
      </c>
      <c r="K1270" s="42"/>
      <c r="L1270" s="42">
        <v>750</v>
      </c>
      <c r="N1270" s="42">
        <v>750</v>
      </c>
    </row>
    <row r="1271" spans="1:14" x14ac:dyDescent="0.25">
      <c r="A1271" s="1">
        <v>46077</v>
      </c>
      <c r="B1271">
        <v>4</v>
      </c>
      <c r="C1271" t="s">
        <v>541</v>
      </c>
      <c r="D1271" t="s">
        <v>10</v>
      </c>
      <c r="E1271" t="s">
        <v>44</v>
      </c>
      <c r="F1271" t="s">
        <v>12</v>
      </c>
      <c r="G1271" t="s">
        <v>13</v>
      </c>
      <c r="I1271" s="42">
        <v>746.99</v>
      </c>
      <c r="J1271" s="42"/>
      <c r="K1271" s="42"/>
      <c r="L1271" s="42">
        <v>746.99</v>
      </c>
      <c r="N1271" s="42">
        <v>746.99</v>
      </c>
    </row>
    <row r="1272" spans="1:14" x14ac:dyDescent="0.25">
      <c r="A1272" s="1">
        <v>46077</v>
      </c>
      <c r="B1272">
        <v>4</v>
      </c>
      <c r="C1272" t="s">
        <v>541</v>
      </c>
      <c r="D1272" t="s">
        <v>10</v>
      </c>
      <c r="E1272" t="s">
        <v>54</v>
      </c>
      <c r="F1272" t="s">
        <v>55</v>
      </c>
      <c r="G1272" t="s">
        <v>56</v>
      </c>
      <c r="I1272" s="42">
        <v>746.99</v>
      </c>
      <c r="J1272" s="42">
        <v>3.01</v>
      </c>
      <c r="K1272" s="42"/>
      <c r="L1272" s="42">
        <v>750</v>
      </c>
      <c r="N1272" s="42">
        <v>750</v>
      </c>
    </row>
    <row r="1273" spans="1:14" x14ac:dyDescent="0.25">
      <c r="A1273" s="1">
        <v>46077</v>
      </c>
      <c r="B1273">
        <v>4</v>
      </c>
      <c r="C1273" t="s">
        <v>541</v>
      </c>
      <c r="D1273" t="s">
        <v>10</v>
      </c>
      <c r="E1273" t="s">
        <v>58</v>
      </c>
      <c r="F1273" t="s">
        <v>37</v>
      </c>
      <c r="G1273" t="s">
        <v>38</v>
      </c>
      <c r="I1273" s="42">
        <v>746.99</v>
      </c>
      <c r="J1273" s="42"/>
      <c r="K1273" s="42"/>
      <c r="L1273" s="42">
        <v>746.99</v>
      </c>
      <c r="N1273" s="42">
        <v>746.99</v>
      </c>
    </row>
    <row r="1274" spans="1:14" x14ac:dyDescent="0.25">
      <c r="A1274" s="1">
        <v>46077</v>
      </c>
      <c r="B1274">
        <v>4</v>
      </c>
      <c r="C1274" t="s">
        <v>541</v>
      </c>
      <c r="D1274" t="s">
        <v>10</v>
      </c>
      <c r="E1274" t="s">
        <v>60</v>
      </c>
      <c r="F1274" t="s">
        <v>52</v>
      </c>
      <c r="G1274" t="s">
        <v>38</v>
      </c>
      <c r="I1274" s="42">
        <v>1251.99</v>
      </c>
      <c r="J1274" s="42"/>
      <c r="K1274" s="42"/>
      <c r="L1274" s="42">
        <v>1251.99</v>
      </c>
      <c r="N1274" s="42">
        <v>1251.99</v>
      </c>
    </row>
    <row r="1275" spans="1:14" x14ac:dyDescent="0.25">
      <c r="A1275" s="1">
        <v>46077</v>
      </c>
      <c r="B1275">
        <v>4</v>
      </c>
      <c r="C1275" t="s">
        <v>541</v>
      </c>
      <c r="D1275" t="s">
        <v>10</v>
      </c>
      <c r="E1275" t="s">
        <v>62</v>
      </c>
      <c r="F1275" t="s">
        <v>12</v>
      </c>
      <c r="G1275" t="s">
        <v>13</v>
      </c>
      <c r="I1275" s="42">
        <v>746.99</v>
      </c>
      <c r="J1275" s="42"/>
      <c r="K1275" s="42"/>
      <c r="L1275" s="42">
        <v>746.99</v>
      </c>
      <c r="N1275" s="42">
        <v>746.99</v>
      </c>
    </row>
    <row r="1276" spans="1:14" x14ac:dyDescent="0.25">
      <c r="A1276" s="1">
        <v>46077</v>
      </c>
      <c r="B1276">
        <v>4</v>
      </c>
      <c r="C1276" t="s">
        <v>541</v>
      </c>
      <c r="D1276" t="s">
        <v>10</v>
      </c>
      <c r="E1276" t="s">
        <v>64</v>
      </c>
      <c r="F1276" t="s">
        <v>65</v>
      </c>
      <c r="G1276" t="s">
        <v>66</v>
      </c>
      <c r="I1276" s="42">
        <v>1381.99</v>
      </c>
      <c r="J1276" s="42"/>
      <c r="K1276" s="42">
        <v>1.99</v>
      </c>
      <c r="L1276" s="42">
        <v>1380</v>
      </c>
      <c r="N1276" s="42">
        <v>1380</v>
      </c>
    </row>
    <row r="1277" spans="1:14" x14ac:dyDescent="0.25">
      <c r="A1277" s="1">
        <v>46077</v>
      </c>
      <c r="B1277">
        <v>4</v>
      </c>
      <c r="C1277" t="s">
        <v>541</v>
      </c>
      <c r="D1277" t="s">
        <v>10</v>
      </c>
      <c r="E1277" t="s">
        <v>68</v>
      </c>
      <c r="F1277" t="s">
        <v>69</v>
      </c>
      <c r="G1277" t="s">
        <v>70</v>
      </c>
      <c r="I1277" s="42">
        <v>801.99</v>
      </c>
      <c r="J1277" s="42">
        <v>0.01</v>
      </c>
      <c r="K1277" s="42"/>
      <c r="L1277" s="42">
        <v>802</v>
      </c>
      <c r="N1277" s="42">
        <v>802</v>
      </c>
    </row>
    <row r="1278" spans="1:14" x14ac:dyDescent="0.25">
      <c r="A1278" s="1">
        <v>46077</v>
      </c>
      <c r="B1278">
        <v>4</v>
      </c>
      <c r="C1278" t="s">
        <v>541</v>
      </c>
      <c r="D1278" t="s">
        <v>10</v>
      </c>
      <c r="E1278" t="s">
        <v>72</v>
      </c>
      <c r="F1278" t="s">
        <v>73</v>
      </c>
      <c r="G1278" t="s">
        <v>13</v>
      </c>
      <c r="I1278" s="42">
        <v>1850</v>
      </c>
      <c r="J1278" s="42">
        <v>120</v>
      </c>
      <c r="K1278" s="42"/>
      <c r="L1278" s="42">
        <v>1970</v>
      </c>
      <c r="N1278" s="42">
        <v>1970</v>
      </c>
    </row>
    <row r="1279" spans="1:14" x14ac:dyDescent="0.25">
      <c r="A1279" s="1">
        <v>46077</v>
      </c>
      <c r="B1279">
        <v>4</v>
      </c>
      <c r="C1279" t="s">
        <v>541</v>
      </c>
      <c r="D1279" t="s">
        <v>10</v>
      </c>
      <c r="E1279" t="s">
        <v>79</v>
      </c>
      <c r="F1279" t="s">
        <v>76</v>
      </c>
      <c r="G1279" t="s">
        <v>77</v>
      </c>
      <c r="I1279" s="42">
        <v>1451.99</v>
      </c>
      <c r="J1279" s="42"/>
      <c r="K1279" s="42"/>
      <c r="L1279" s="42">
        <v>1451.99</v>
      </c>
      <c r="N1279" s="42">
        <v>1451.99</v>
      </c>
    </row>
    <row r="1280" spans="1:14" x14ac:dyDescent="0.25">
      <c r="A1280" s="1">
        <v>46077</v>
      </c>
      <c r="B1280">
        <v>4</v>
      </c>
      <c r="C1280" t="s">
        <v>541</v>
      </c>
      <c r="D1280" t="s">
        <v>10</v>
      </c>
      <c r="E1280" t="s">
        <v>46</v>
      </c>
      <c r="F1280" t="s">
        <v>12</v>
      </c>
      <c r="G1280" t="s">
        <v>13</v>
      </c>
      <c r="I1280" s="42">
        <v>746.99</v>
      </c>
      <c r="J1280" s="42">
        <v>0.01</v>
      </c>
      <c r="K1280" s="42"/>
      <c r="L1280" s="42">
        <v>747</v>
      </c>
      <c r="N1280" s="42">
        <v>747</v>
      </c>
    </row>
    <row r="1281" spans="1:14" x14ac:dyDescent="0.25">
      <c r="A1281" s="1">
        <v>46077</v>
      </c>
      <c r="B1281">
        <v>4</v>
      </c>
      <c r="C1281" t="s">
        <v>541</v>
      </c>
      <c r="D1281" t="s">
        <v>10</v>
      </c>
      <c r="E1281" t="s">
        <v>162</v>
      </c>
      <c r="F1281" t="s">
        <v>158</v>
      </c>
      <c r="G1281" t="s">
        <v>104</v>
      </c>
      <c r="I1281" s="42">
        <v>746.99</v>
      </c>
      <c r="J1281" s="42"/>
      <c r="K1281" s="42"/>
      <c r="L1281" s="42">
        <v>746.99</v>
      </c>
      <c r="N1281" s="42">
        <v>746.99</v>
      </c>
    </row>
    <row r="1282" spans="1:14" x14ac:dyDescent="0.25">
      <c r="A1282" s="1">
        <v>46077</v>
      </c>
      <c r="B1282">
        <v>4</v>
      </c>
      <c r="C1282" t="s">
        <v>541</v>
      </c>
      <c r="D1282" t="s">
        <v>10</v>
      </c>
      <c r="E1282" t="s">
        <v>288</v>
      </c>
      <c r="F1282" t="s">
        <v>55</v>
      </c>
      <c r="G1282" t="s">
        <v>104</v>
      </c>
      <c r="I1282" s="42">
        <v>746.99</v>
      </c>
      <c r="J1282" s="42"/>
      <c r="K1282" s="42">
        <v>319.79000000000002</v>
      </c>
      <c r="L1282" s="42">
        <v>427.2</v>
      </c>
      <c r="N1282" s="42">
        <v>427.2</v>
      </c>
    </row>
    <row r="1283" spans="1:14" x14ac:dyDescent="0.25">
      <c r="A1283" s="1">
        <v>46077</v>
      </c>
      <c r="B1283">
        <v>4</v>
      </c>
      <c r="C1283" t="s">
        <v>541</v>
      </c>
      <c r="D1283" t="s">
        <v>10</v>
      </c>
      <c r="E1283" t="s">
        <v>300</v>
      </c>
      <c r="F1283" t="s">
        <v>301</v>
      </c>
      <c r="G1283" t="s">
        <v>104</v>
      </c>
      <c r="I1283" s="42">
        <v>746.99</v>
      </c>
      <c r="J1283" s="42"/>
      <c r="K1283" s="42"/>
      <c r="L1283" s="42">
        <v>746.99</v>
      </c>
      <c r="N1283" s="42"/>
    </row>
    <row r="1284" spans="1:14" x14ac:dyDescent="0.25">
      <c r="A1284" s="1">
        <v>46077</v>
      </c>
      <c r="B1284">
        <v>4</v>
      </c>
      <c r="C1284" t="s">
        <v>541</v>
      </c>
      <c r="D1284" t="s">
        <v>10</v>
      </c>
      <c r="E1284" t="s">
        <v>327</v>
      </c>
      <c r="F1284" t="s">
        <v>158</v>
      </c>
      <c r="G1284" t="s">
        <v>22</v>
      </c>
      <c r="I1284" s="42">
        <v>746.99</v>
      </c>
      <c r="J1284" s="42"/>
      <c r="K1284" s="42"/>
      <c r="L1284" s="42">
        <v>746.99</v>
      </c>
      <c r="N1284" s="42">
        <v>746.99</v>
      </c>
    </row>
    <row r="1285" spans="1:14" x14ac:dyDescent="0.25">
      <c r="A1285" s="1">
        <v>46077</v>
      </c>
      <c r="B1285">
        <v>4</v>
      </c>
      <c r="C1285" t="s">
        <v>541</v>
      </c>
      <c r="D1285" t="s">
        <v>10</v>
      </c>
      <c r="E1285" t="s">
        <v>321</v>
      </c>
      <c r="F1285" t="s">
        <v>158</v>
      </c>
      <c r="G1285" t="s">
        <v>13</v>
      </c>
      <c r="I1285" s="42">
        <v>746.99</v>
      </c>
      <c r="J1285" s="42"/>
      <c r="K1285" s="42"/>
      <c r="L1285" s="42">
        <v>746.99</v>
      </c>
      <c r="N1285" s="42">
        <v>746.99</v>
      </c>
    </row>
    <row r="1286" spans="1:14" x14ac:dyDescent="0.25">
      <c r="A1286" s="1">
        <v>46077</v>
      </c>
      <c r="B1286">
        <v>4</v>
      </c>
      <c r="C1286" t="s">
        <v>541</v>
      </c>
      <c r="D1286" t="s">
        <v>10</v>
      </c>
      <c r="E1286" t="s">
        <v>322</v>
      </c>
      <c r="F1286" t="s">
        <v>158</v>
      </c>
      <c r="G1286" t="s">
        <v>13</v>
      </c>
      <c r="I1286" s="42">
        <v>746.99</v>
      </c>
      <c r="J1286" s="42">
        <v>0.01</v>
      </c>
      <c r="K1286" s="42"/>
      <c r="L1286" s="42">
        <v>747</v>
      </c>
      <c r="N1286" s="42">
        <v>747</v>
      </c>
    </row>
    <row r="1287" spans="1:14" x14ac:dyDescent="0.25">
      <c r="A1287" s="1">
        <v>46077</v>
      </c>
      <c r="B1287">
        <v>4</v>
      </c>
      <c r="C1287" t="s">
        <v>541</v>
      </c>
      <c r="D1287" t="s">
        <v>10</v>
      </c>
      <c r="E1287" t="s">
        <v>310</v>
      </c>
      <c r="F1287" t="s">
        <v>28</v>
      </c>
      <c r="G1287" t="s">
        <v>13</v>
      </c>
      <c r="I1287" s="42">
        <v>931.99</v>
      </c>
      <c r="J1287" s="42"/>
      <c r="K1287" s="42"/>
      <c r="L1287" s="42">
        <v>1426.99</v>
      </c>
      <c r="N1287" s="42">
        <v>931.99</v>
      </c>
    </row>
    <row r="1288" spans="1:14" x14ac:dyDescent="0.25">
      <c r="A1288" s="1">
        <v>46077</v>
      </c>
      <c r="B1288">
        <v>4</v>
      </c>
      <c r="C1288" t="s">
        <v>542</v>
      </c>
      <c r="D1288" t="s">
        <v>89</v>
      </c>
      <c r="E1288" t="s">
        <v>235</v>
      </c>
      <c r="F1288" t="s">
        <v>158</v>
      </c>
      <c r="G1288" t="s">
        <v>104</v>
      </c>
      <c r="I1288" s="42">
        <v>746.99</v>
      </c>
      <c r="J1288" s="42"/>
      <c r="K1288" s="42"/>
      <c r="L1288" s="42">
        <v>746.99</v>
      </c>
      <c r="N1288" s="42"/>
    </row>
    <row r="1289" spans="1:14" x14ac:dyDescent="0.25">
      <c r="A1289" s="1">
        <v>46077</v>
      </c>
      <c r="B1289">
        <v>4</v>
      </c>
      <c r="C1289" t="s">
        <v>541</v>
      </c>
      <c r="D1289" t="s">
        <v>10</v>
      </c>
      <c r="E1289" t="s">
        <v>303</v>
      </c>
      <c r="F1289" t="s">
        <v>33</v>
      </c>
      <c r="G1289" t="s">
        <v>13</v>
      </c>
      <c r="I1289" s="42">
        <v>851.99</v>
      </c>
      <c r="J1289" s="42"/>
      <c r="K1289" s="42"/>
      <c r="L1289" s="42">
        <v>1346.99</v>
      </c>
      <c r="N1289" s="42">
        <v>851.99</v>
      </c>
    </row>
    <row r="1290" spans="1:14" x14ac:dyDescent="0.25">
      <c r="A1290" s="1">
        <v>46077</v>
      </c>
      <c r="B1290">
        <v>4</v>
      </c>
      <c r="C1290" t="s">
        <v>541</v>
      </c>
      <c r="D1290" t="s">
        <v>10</v>
      </c>
      <c r="E1290" t="s">
        <v>81</v>
      </c>
      <c r="F1290" t="s">
        <v>12</v>
      </c>
      <c r="G1290" t="s">
        <v>13</v>
      </c>
      <c r="I1290" s="42">
        <v>746.99</v>
      </c>
      <c r="J1290" s="42">
        <v>90</v>
      </c>
      <c r="K1290" s="42"/>
      <c r="L1290" s="42">
        <v>836.99</v>
      </c>
      <c r="N1290" s="42">
        <v>836.99</v>
      </c>
    </row>
    <row r="1291" spans="1:14" x14ac:dyDescent="0.25">
      <c r="A1291" s="1">
        <v>46077</v>
      </c>
      <c r="B1291">
        <v>4</v>
      </c>
      <c r="C1291" t="s">
        <v>541</v>
      </c>
      <c r="D1291" t="s">
        <v>10</v>
      </c>
      <c r="E1291" t="s">
        <v>83</v>
      </c>
      <c r="F1291" t="s">
        <v>41</v>
      </c>
      <c r="G1291" t="s">
        <v>13</v>
      </c>
      <c r="I1291" s="42">
        <v>746.99</v>
      </c>
      <c r="J1291" s="42"/>
      <c r="K1291" s="42">
        <v>1.99</v>
      </c>
      <c r="L1291" s="42">
        <v>745</v>
      </c>
      <c r="N1291" s="42">
        <v>745</v>
      </c>
    </row>
    <row r="1292" spans="1:14" x14ac:dyDescent="0.25">
      <c r="A1292" s="1">
        <v>46077</v>
      </c>
      <c r="B1292">
        <v>4</v>
      </c>
      <c r="C1292" t="s">
        <v>541</v>
      </c>
      <c r="D1292" t="s">
        <v>10</v>
      </c>
      <c r="E1292" t="s">
        <v>85</v>
      </c>
      <c r="F1292" t="s">
        <v>28</v>
      </c>
      <c r="G1292" t="s">
        <v>66</v>
      </c>
      <c r="I1292" s="42">
        <v>931.99</v>
      </c>
      <c r="J1292" s="42">
        <v>60.01</v>
      </c>
      <c r="K1292" s="42"/>
      <c r="L1292" s="42">
        <v>992</v>
      </c>
      <c r="N1292" s="42">
        <v>992</v>
      </c>
    </row>
    <row r="1293" spans="1:14" x14ac:dyDescent="0.25">
      <c r="A1293" s="1">
        <v>46077</v>
      </c>
      <c r="B1293">
        <v>4</v>
      </c>
      <c r="C1293" t="s">
        <v>541</v>
      </c>
      <c r="D1293" t="s">
        <v>10</v>
      </c>
      <c r="E1293" t="s">
        <v>87</v>
      </c>
      <c r="F1293" t="s">
        <v>28</v>
      </c>
      <c r="G1293" t="s">
        <v>13</v>
      </c>
      <c r="I1293" s="42">
        <v>931.99</v>
      </c>
      <c r="J1293" s="42"/>
      <c r="K1293" s="42">
        <v>1.99</v>
      </c>
      <c r="L1293" s="42">
        <v>930</v>
      </c>
      <c r="N1293" s="42">
        <v>930</v>
      </c>
    </row>
    <row r="1294" spans="1:14" x14ac:dyDescent="0.25">
      <c r="A1294" s="1">
        <v>46077</v>
      </c>
      <c r="B1294">
        <v>4</v>
      </c>
      <c r="C1294" t="s">
        <v>541</v>
      </c>
      <c r="D1294" t="s">
        <v>10</v>
      </c>
      <c r="E1294" t="s">
        <v>90</v>
      </c>
      <c r="F1294" t="s">
        <v>91</v>
      </c>
      <c r="G1294" t="s">
        <v>22</v>
      </c>
      <c r="I1294" s="42">
        <v>550</v>
      </c>
      <c r="J1294" s="42"/>
      <c r="K1294" s="42"/>
      <c r="L1294" s="42">
        <v>550</v>
      </c>
      <c r="N1294" s="42">
        <v>550</v>
      </c>
    </row>
    <row r="1295" spans="1:14" x14ac:dyDescent="0.25">
      <c r="A1295" s="1">
        <v>46077</v>
      </c>
      <c r="B1295">
        <v>4</v>
      </c>
      <c r="C1295" t="s">
        <v>541</v>
      </c>
      <c r="D1295" t="s">
        <v>10</v>
      </c>
      <c r="E1295" t="s">
        <v>102</v>
      </c>
      <c r="F1295" t="s">
        <v>103</v>
      </c>
      <c r="G1295" t="s">
        <v>104</v>
      </c>
      <c r="I1295" s="42">
        <v>801.99</v>
      </c>
      <c r="J1295" s="42"/>
      <c r="K1295" s="42"/>
      <c r="L1295" s="42">
        <v>801.99</v>
      </c>
      <c r="N1295" s="42">
        <v>801.99</v>
      </c>
    </row>
    <row r="1296" spans="1:14" x14ac:dyDescent="0.25">
      <c r="A1296" s="1">
        <v>46077</v>
      </c>
      <c r="B1296">
        <v>4</v>
      </c>
      <c r="C1296" t="s">
        <v>541</v>
      </c>
      <c r="D1296" t="s">
        <v>10</v>
      </c>
      <c r="E1296" t="s">
        <v>307</v>
      </c>
      <c r="F1296" t="s">
        <v>214</v>
      </c>
      <c r="G1296" t="s">
        <v>66</v>
      </c>
      <c r="I1296" s="42">
        <v>851.99</v>
      </c>
      <c r="J1296" s="42"/>
      <c r="K1296" s="42"/>
      <c r="L1296" s="42">
        <v>851.99</v>
      </c>
      <c r="N1296" s="42">
        <v>851.99</v>
      </c>
    </row>
    <row r="1297" spans="1:14" x14ac:dyDescent="0.25">
      <c r="A1297" s="1">
        <v>46077</v>
      </c>
      <c r="B1297">
        <v>4</v>
      </c>
      <c r="C1297" t="s">
        <v>541</v>
      </c>
      <c r="D1297" t="s">
        <v>10</v>
      </c>
      <c r="E1297" t="s">
        <v>110</v>
      </c>
      <c r="F1297" t="s">
        <v>55</v>
      </c>
      <c r="G1297" t="s">
        <v>111</v>
      </c>
      <c r="I1297" s="42">
        <v>746.99</v>
      </c>
      <c r="J1297" s="42">
        <v>60.01</v>
      </c>
      <c r="K1297" s="42"/>
      <c r="L1297" s="42">
        <v>807</v>
      </c>
      <c r="N1297" s="42">
        <v>807</v>
      </c>
    </row>
    <row r="1298" spans="1:14" x14ac:dyDescent="0.25">
      <c r="A1298" s="1">
        <v>46077</v>
      </c>
      <c r="B1298">
        <v>4</v>
      </c>
      <c r="C1298" t="s">
        <v>541</v>
      </c>
      <c r="D1298" t="s">
        <v>10</v>
      </c>
      <c r="E1298" t="s">
        <v>113</v>
      </c>
      <c r="F1298" t="s">
        <v>12</v>
      </c>
      <c r="G1298" t="s">
        <v>13</v>
      </c>
      <c r="I1298" s="42">
        <v>746.99</v>
      </c>
      <c r="J1298" s="42"/>
      <c r="K1298" s="42">
        <v>1.99</v>
      </c>
      <c r="L1298" s="42">
        <v>745</v>
      </c>
      <c r="N1298" s="42">
        <v>745</v>
      </c>
    </row>
    <row r="1299" spans="1:14" x14ac:dyDescent="0.25">
      <c r="A1299" s="1">
        <v>46077</v>
      </c>
      <c r="B1299">
        <v>4</v>
      </c>
      <c r="C1299" t="s">
        <v>541</v>
      </c>
      <c r="D1299" t="s">
        <v>10</v>
      </c>
      <c r="E1299" t="s">
        <v>118</v>
      </c>
      <c r="F1299" t="s">
        <v>119</v>
      </c>
      <c r="G1299" t="s">
        <v>13</v>
      </c>
      <c r="I1299" s="42">
        <v>851.99</v>
      </c>
      <c r="J1299" s="42">
        <v>29.91</v>
      </c>
      <c r="K1299" s="42"/>
      <c r="L1299" s="42">
        <v>881.9</v>
      </c>
      <c r="N1299" s="42">
        <v>881.9</v>
      </c>
    </row>
    <row r="1300" spans="1:14" x14ac:dyDescent="0.25">
      <c r="A1300" s="1">
        <v>46077</v>
      </c>
      <c r="B1300">
        <v>4</v>
      </c>
      <c r="C1300" t="s">
        <v>541</v>
      </c>
      <c r="D1300" t="s">
        <v>10</v>
      </c>
      <c r="E1300" t="s">
        <v>302</v>
      </c>
      <c r="F1300" t="s">
        <v>37</v>
      </c>
      <c r="G1300" t="s">
        <v>13</v>
      </c>
      <c r="I1300" s="42">
        <v>746.99</v>
      </c>
      <c r="J1300" s="42"/>
      <c r="K1300" s="42">
        <v>0.99</v>
      </c>
      <c r="L1300" s="42">
        <v>746</v>
      </c>
      <c r="N1300" s="42">
        <v>746</v>
      </c>
    </row>
    <row r="1301" spans="1:14" x14ac:dyDescent="0.25">
      <c r="A1301" s="1">
        <v>46077</v>
      </c>
      <c r="B1301">
        <v>4</v>
      </c>
      <c r="C1301" t="s">
        <v>541</v>
      </c>
      <c r="D1301" t="s">
        <v>10</v>
      </c>
      <c r="E1301" t="s">
        <v>126</v>
      </c>
      <c r="F1301" t="s">
        <v>55</v>
      </c>
      <c r="G1301" t="s">
        <v>56</v>
      </c>
      <c r="I1301" s="42">
        <v>746.99</v>
      </c>
      <c r="J1301" s="42"/>
      <c r="K1301" s="42">
        <v>1.99</v>
      </c>
      <c r="L1301" s="42">
        <v>745</v>
      </c>
      <c r="N1301" s="42">
        <v>745</v>
      </c>
    </row>
    <row r="1302" spans="1:14" x14ac:dyDescent="0.25">
      <c r="A1302" s="1">
        <v>46077</v>
      </c>
      <c r="B1302">
        <v>4</v>
      </c>
      <c r="C1302" t="s">
        <v>541</v>
      </c>
      <c r="D1302" t="s">
        <v>10</v>
      </c>
      <c r="E1302" t="s">
        <v>128</v>
      </c>
      <c r="F1302" t="s">
        <v>25</v>
      </c>
      <c r="G1302" t="s">
        <v>13</v>
      </c>
      <c r="I1302" s="42">
        <v>1351.99</v>
      </c>
      <c r="J1302" s="42"/>
      <c r="K1302" s="42"/>
      <c r="L1302" s="42">
        <v>1351.99</v>
      </c>
      <c r="N1302" s="42">
        <v>1351.99</v>
      </c>
    </row>
    <row r="1303" spans="1:14" x14ac:dyDescent="0.25">
      <c r="A1303" s="1">
        <v>46077</v>
      </c>
      <c r="B1303">
        <v>4</v>
      </c>
      <c r="C1303" t="s">
        <v>541</v>
      </c>
      <c r="D1303" t="s">
        <v>10</v>
      </c>
      <c r="E1303" t="s">
        <v>130</v>
      </c>
      <c r="F1303" t="s">
        <v>28</v>
      </c>
      <c r="G1303" t="s">
        <v>13</v>
      </c>
      <c r="I1303" s="42">
        <v>931.99</v>
      </c>
      <c r="J1303" s="42">
        <v>60</v>
      </c>
      <c r="K1303" s="42"/>
      <c r="L1303" s="42">
        <v>991.99</v>
      </c>
      <c r="N1303" s="42">
        <v>991.99</v>
      </c>
    </row>
    <row r="1304" spans="1:14" x14ac:dyDescent="0.25">
      <c r="A1304" s="1">
        <v>46077</v>
      </c>
      <c r="B1304">
        <v>4</v>
      </c>
      <c r="C1304" t="s">
        <v>541</v>
      </c>
      <c r="D1304" t="s">
        <v>10</v>
      </c>
      <c r="E1304" t="s">
        <v>132</v>
      </c>
      <c r="F1304" t="s">
        <v>76</v>
      </c>
      <c r="G1304" t="s">
        <v>77</v>
      </c>
      <c r="I1304" s="42">
        <v>1451.99</v>
      </c>
      <c r="J1304" s="42">
        <v>60</v>
      </c>
      <c r="K1304" s="42"/>
      <c r="L1304" s="42">
        <v>1511.99</v>
      </c>
      <c r="N1304" s="42">
        <v>1511.99</v>
      </c>
    </row>
    <row r="1305" spans="1:14" x14ac:dyDescent="0.25">
      <c r="A1305" s="1">
        <v>46077</v>
      </c>
      <c r="B1305">
        <v>4</v>
      </c>
      <c r="C1305" t="s">
        <v>541</v>
      </c>
      <c r="D1305" t="s">
        <v>10</v>
      </c>
      <c r="E1305" t="s">
        <v>137</v>
      </c>
      <c r="F1305" t="s">
        <v>12</v>
      </c>
      <c r="G1305" t="s">
        <v>13</v>
      </c>
      <c r="I1305" s="42">
        <v>746.99</v>
      </c>
      <c r="J1305" s="42">
        <v>3.01</v>
      </c>
      <c r="K1305" s="42"/>
      <c r="L1305" s="42">
        <v>750</v>
      </c>
      <c r="N1305" s="42">
        <v>750</v>
      </c>
    </row>
    <row r="1306" spans="1:14" x14ac:dyDescent="0.25">
      <c r="A1306" s="1">
        <v>46077</v>
      </c>
      <c r="B1306">
        <v>4</v>
      </c>
      <c r="C1306" t="s">
        <v>541</v>
      </c>
      <c r="D1306" t="s">
        <v>10</v>
      </c>
      <c r="E1306" t="s">
        <v>115</v>
      </c>
      <c r="F1306" t="s">
        <v>116</v>
      </c>
      <c r="G1306" t="s">
        <v>13</v>
      </c>
      <c r="I1306" s="42">
        <v>746.99</v>
      </c>
      <c r="J1306" s="42">
        <v>90.01</v>
      </c>
      <c r="K1306" s="42"/>
      <c r="L1306" s="42">
        <v>837</v>
      </c>
      <c r="N1306" s="42">
        <v>837</v>
      </c>
    </row>
    <row r="1307" spans="1:14" x14ac:dyDescent="0.25">
      <c r="A1307" s="1">
        <v>46077</v>
      </c>
      <c r="B1307">
        <v>4</v>
      </c>
      <c r="C1307" t="s">
        <v>541</v>
      </c>
      <c r="D1307" t="s">
        <v>10</v>
      </c>
      <c r="E1307" t="s">
        <v>326</v>
      </c>
      <c r="F1307" t="s">
        <v>52</v>
      </c>
      <c r="G1307" t="s">
        <v>13</v>
      </c>
      <c r="I1307" s="42">
        <v>1251.99</v>
      </c>
      <c r="J1307" s="42"/>
      <c r="K1307" s="42"/>
      <c r="L1307" s="42">
        <v>1251.99</v>
      </c>
      <c r="N1307" s="42">
        <v>1251.99</v>
      </c>
    </row>
    <row r="1308" spans="1:14" x14ac:dyDescent="0.25">
      <c r="A1308" s="1">
        <v>46077</v>
      </c>
      <c r="B1308">
        <v>4</v>
      </c>
      <c r="C1308" t="s">
        <v>541</v>
      </c>
      <c r="D1308" t="s">
        <v>10</v>
      </c>
      <c r="E1308" t="s">
        <v>333</v>
      </c>
      <c r="F1308" t="s">
        <v>158</v>
      </c>
      <c r="G1308" t="s">
        <v>22</v>
      </c>
      <c r="I1308" s="42">
        <v>746.99</v>
      </c>
      <c r="J1308" s="42">
        <v>89.01</v>
      </c>
      <c r="K1308" s="42"/>
      <c r="L1308" s="42">
        <v>836</v>
      </c>
      <c r="N1308" s="42">
        <v>836</v>
      </c>
    </row>
    <row r="1309" spans="1:14" x14ac:dyDescent="0.25">
      <c r="A1309" s="1">
        <v>46077</v>
      </c>
      <c r="B1309">
        <v>4</v>
      </c>
      <c r="C1309" t="s">
        <v>541</v>
      </c>
      <c r="D1309" t="s">
        <v>10</v>
      </c>
      <c r="E1309" t="s">
        <v>281</v>
      </c>
      <c r="F1309" t="s">
        <v>55</v>
      </c>
      <c r="G1309" t="s">
        <v>56</v>
      </c>
      <c r="I1309" s="42">
        <v>746.99</v>
      </c>
      <c r="J1309" s="42"/>
      <c r="K1309" s="42"/>
      <c r="L1309" s="42">
        <v>1241.99</v>
      </c>
      <c r="N1309" s="42">
        <v>746.99</v>
      </c>
    </row>
    <row r="1310" spans="1:14" x14ac:dyDescent="0.25">
      <c r="A1310" s="1">
        <v>46077</v>
      </c>
      <c r="B1310">
        <v>4</v>
      </c>
      <c r="C1310" t="s">
        <v>541</v>
      </c>
      <c r="D1310" t="s">
        <v>10</v>
      </c>
      <c r="E1310" t="s">
        <v>34</v>
      </c>
      <c r="F1310" t="s">
        <v>33</v>
      </c>
      <c r="G1310" t="s">
        <v>13</v>
      </c>
      <c r="I1310" s="42">
        <v>851.99</v>
      </c>
      <c r="J1310" s="42">
        <v>0.01</v>
      </c>
      <c r="K1310" s="42"/>
      <c r="L1310" s="42">
        <v>852</v>
      </c>
      <c r="N1310" s="42">
        <v>852</v>
      </c>
    </row>
    <row r="1311" spans="1:14" x14ac:dyDescent="0.25">
      <c r="A1311" s="1">
        <v>46077</v>
      </c>
      <c r="B1311">
        <v>4</v>
      </c>
      <c r="C1311" t="s">
        <v>541</v>
      </c>
      <c r="D1311" t="s">
        <v>10</v>
      </c>
      <c r="E1311" t="s">
        <v>180</v>
      </c>
      <c r="F1311" t="s">
        <v>52</v>
      </c>
      <c r="G1311" t="s">
        <v>38</v>
      </c>
      <c r="I1311" s="42">
        <v>1251.99</v>
      </c>
      <c r="J1311" s="42"/>
      <c r="K1311" s="42"/>
      <c r="L1311" s="42">
        <v>1251.99</v>
      </c>
      <c r="N1311" s="42">
        <v>1251.99</v>
      </c>
    </row>
    <row r="1312" spans="1:14" x14ac:dyDescent="0.25">
      <c r="A1312" s="1">
        <v>46077</v>
      </c>
      <c r="B1312">
        <v>4</v>
      </c>
      <c r="C1312" t="s">
        <v>541</v>
      </c>
      <c r="D1312" t="s">
        <v>10</v>
      </c>
      <c r="E1312" t="s">
        <v>93</v>
      </c>
      <c r="F1312" t="s">
        <v>94</v>
      </c>
      <c r="G1312" t="s">
        <v>95</v>
      </c>
      <c r="I1312" s="42">
        <v>746.99</v>
      </c>
      <c r="J1312" s="42"/>
      <c r="K1312" s="42"/>
      <c r="L1312" s="42">
        <v>746.99</v>
      </c>
      <c r="N1312" s="42">
        <v>746.99</v>
      </c>
    </row>
    <row r="1313" spans="1:14" x14ac:dyDescent="0.25">
      <c r="A1313" s="1">
        <v>46077</v>
      </c>
      <c r="B1313">
        <v>4</v>
      </c>
      <c r="C1313" t="s">
        <v>541</v>
      </c>
      <c r="D1313" t="s">
        <v>10</v>
      </c>
      <c r="E1313" t="s">
        <v>124</v>
      </c>
      <c r="F1313" t="s">
        <v>52</v>
      </c>
      <c r="G1313" t="s">
        <v>77</v>
      </c>
      <c r="I1313" s="42">
        <v>1251.99</v>
      </c>
      <c r="J1313" s="42">
        <v>30.01</v>
      </c>
      <c r="K1313" s="42"/>
      <c r="L1313" s="42">
        <v>1282</v>
      </c>
      <c r="N1313" s="42">
        <v>1282</v>
      </c>
    </row>
    <row r="1314" spans="1:14" x14ac:dyDescent="0.25">
      <c r="A1314" s="1">
        <v>46077</v>
      </c>
      <c r="B1314">
        <v>4</v>
      </c>
      <c r="C1314" t="s">
        <v>541</v>
      </c>
      <c r="D1314" t="s">
        <v>10</v>
      </c>
      <c r="E1314" t="s">
        <v>138</v>
      </c>
      <c r="F1314" t="s">
        <v>12</v>
      </c>
      <c r="G1314" t="s">
        <v>13</v>
      </c>
      <c r="I1314" s="42">
        <v>746.99</v>
      </c>
      <c r="J1314" s="42"/>
      <c r="K1314" s="42">
        <v>320.17</v>
      </c>
      <c r="L1314" s="42">
        <v>426.82</v>
      </c>
      <c r="N1314" s="42">
        <v>426.82</v>
      </c>
    </row>
    <row r="1315" spans="1:14" x14ac:dyDescent="0.25">
      <c r="A1315" s="1">
        <v>46077</v>
      </c>
      <c r="B1315">
        <v>4</v>
      </c>
      <c r="C1315" t="s">
        <v>541</v>
      </c>
      <c r="D1315" t="s">
        <v>10</v>
      </c>
      <c r="E1315" t="s">
        <v>140</v>
      </c>
      <c r="F1315" t="s">
        <v>28</v>
      </c>
      <c r="G1315" t="s">
        <v>13</v>
      </c>
      <c r="I1315" s="42">
        <v>931.99</v>
      </c>
      <c r="J1315" s="42"/>
      <c r="K1315" s="42"/>
      <c r="L1315" s="42">
        <v>931.99</v>
      </c>
      <c r="N1315" s="42">
        <v>931.99</v>
      </c>
    </row>
    <row r="1316" spans="1:14" x14ac:dyDescent="0.25">
      <c r="A1316" s="1">
        <v>46077</v>
      </c>
      <c r="B1316">
        <v>4</v>
      </c>
      <c r="C1316" t="s">
        <v>541</v>
      </c>
      <c r="D1316" t="s">
        <v>10</v>
      </c>
      <c r="E1316" t="s">
        <v>142</v>
      </c>
      <c r="F1316" t="s">
        <v>55</v>
      </c>
      <c r="G1316" t="s">
        <v>95</v>
      </c>
      <c r="I1316" s="42">
        <v>746.99</v>
      </c>
      <c r="J1316" s="42"/>
      <c r="K1316" s="42"/>
      <c r="L1316" s="42">
        <v>746.99</v>
      </c>
      <c r="M1316" s="37">
        <v>281.16000000000003</v>
      </c>
      <c r="N1316" s="42">
        <v>746.99</v>
      </c>
    </row>
    <row r="1317" spans="1:14" x14ac:dyDescent="0.25">
      <c r="A1317" s="1">
        <v>46077</v>
      </c>
      <c r="B1317">
        <v>4</v>
      </c>
      <c r="C1317" t="s">
        <v>541</v>
      </c>
      <c r="D1317" t="s">
        <v>10</v>
      </c>
      <c r="E1317" t="s">
        <v>144</v>
      </c>
      <c r="F1317" t="s">
        <v>145</v>
      </c>
      <c r="G1317" t="s">
        <v>66</v>
      </c>
      <c r="I1317" s="42">
        <v>1351.99</v>
      </c>
      <c r="J1317" s="42"/>
      <c r="K1317" s="42"/>
      <c r="L1317" s="42">
        <v>1351.99</v>
      </c>
      <c r="N1317" s="42">
        <v>1351.99</v>
      </c>
    </row>
    <row r="1318" spans="1:14" x14ac:dyDescent="0.25">
      <c r="A1318" s="1">
        <v>46077</v>
      </c>
      <c r="B1318">
        <v>4</v>
      </c>
      <c r="C1318" t="s">
        <v>541</v>
      </c>
      <c r="D1318" t="s">
        <v>10</v>
      </c>
      <c r="E1318" t="s">
        <v>147</v>
      </c>
      <c r="F1318" t="s">
        <v>33</v>
      </c>
      <c r="G1318" t="s">
        <v>13</v>
      </c>
      <c r="I1318" s="42">
        <v>851.99</v>
      </c>
      <c r="J1318" s="42">
        <v>30.01</v>
      </c>
      <c r="K1318" s="42"/>
      <c r="L1318" s="42">
        <v>882</v>
      </c>
      <c r="N1318" s="42">
        <v>882</v>
      </c>
    </row>
    <row r="1319" spans="1:14" x14ac:dyDescent="0.25">
      <c r="A1319" s="1">
        <v>46077</v>
      </c>
      <c r="B1319">
        <v>4</v>
      </c>
      <c r="C1319" t="s">
        <v>541</v>
      </c>
      <c r="D1319" t="s">
        <v>10</v>
      </c>
      <c r="E1319" t="s">
        <v>149</v>
      </c>
      <c r="F1319" t="s">
        <v>33</v>
      </c>
      <c r="G1319" t="s">
        <v>13</v>
      </c>
      <c r="I1319" s="42">
        <v>851.99</v>
      </c>
      <c r="J1319" s="42">
        <v>28.01</v>
      </c>
      <c r="K1319" s="42"/>
      <c r="L1319" s="42">
        <v>880</v>
      </c>
      <c r="N1319" s="42">
        <v>880</v>
      </c>
    </row>
    <row r="1320" spans="1:14" x14ac:dyDescent="0.25">
      <c r="A1320" s="1">
        <v>46077</v>
      </c>
      <c r="B1320">
        <v>4</v>
      </c>
      <c r="C1320" t="s">
        <v>541</v>
      </c>
      <c r="D1320" t="s">
        <v>10</v>
      </c>
      <c r="E1320" t="s">
        <v>97</v>
      </c>
      <c r="F1320" t="s">
        <v>33</v>
      </c>
      <c r="G1320" t="s">
        <v>13</v>
      </c>
      <c r="I1320" s="42">
        <v>851.99</v>
      </c>
      <c r="J1320" s="42"/>
      <c r="K1320" s="42"/>
      <c r="L1320" s="42">
        <v>851.99</v>
      </c>
      <c r="N1320" s="42">
        <v>851.99</v>
      </c>
    </row>
    <row r="1321" spans="1:14" x14ac:dyDescent="0.25">
      <c r="A1321" s="1">
        <v>46077</v>
      </c>
      <c r="B1321">
        <v>4</v>
      </c>
      <c r="C1321" t="s">
        <v>541</v>
      </c>
      <c r="D1321" t="s">
        <v>10</v>
      </c>
      <c r="E1321" t="s">
        <v>151</v>
      </c>
      <c r="F1321" t="s">
        <v>33</v>
      </c>
      <c r="G1321" t="s">
        <v>38</v>
      </c>
      <c r="I1321" s="42">
        <v>851.99</v>
      </c>
      <c r="J1321" s="42"/>
      <c r="K1321" s="42"/>
      <c r="L1321" s="42">
        <v>851.99</v>
      </c>
      <c r="N1321" s="42">
        <v>851.99</v>
      </c>
    </row>
    <row r="1322" spans="1:14" x14ac:dyDescent="0.25">
      <c r="A1322" s="1">
        <v>46077</v>
      </c>
      <c r="B1322">
        <v>4</v>
      </c>
      <c r="C1322" t="s">
        <v>541</v>
      </c>
      <c r="D1322" t="s">
        <v>10</v>
      </c>
      <c r="E1322" t="s">
        <v>153</v>
      </c>
      <c r="F1322" t="s">
        <v>12</v>
      </c>
      <c r="G1322" t="s">
        <v>13</v>
      </c>
      <c r="I1322" s="42">
        <v>746.99</v>
      </c>
      <c r="J1322" s="42"/>
      <c r="K1322" s="42">
        <v>320.13</v>
      </c>
      <c r="L1322" s="42">
        <v>426.86</v>
      </c>
      <c r="N1322" s="42">
        <v>430</v>
      </c>
    </row>
    <row r="1323" spans="1:14" x14ac:dyDescent="0.25">
      <c r="A1323" s="1">
        <v>46077</v>
      </c>
      <c r="B1323">
        <v>4</v>
      </c>
      <c r="C1323" t="s">
        <v>541</v>
      </c>
      <c r="D1323" t="s">
        <v>10</v>
      </c>
      <c r="E1323" t="s">
        <v>155</v>
      </c>
      <c r="F1323" t="s">
        <v>33</v>
      </c>
      <c r="G1323" t="s">
        <v>38</v>
      </c>
      <c r="I1323" s="42">
        <v>851.99</v>
      </c>
      <c r="J1323" s="42">
        <v>60</v>
      </c>
      <c r="K1323" s="42"/>
      <c r="L1323" s="42">
        <v>911.99</v>
      </c>
      <c r="N1323" s="42">
        <v>911.99</v>
      </c>
    </row>
    <row r="1324" spans="1:14" x14ac:dyDescent="0.25">
      <c r="A1324" s="1">
        <v>46077</v>
      </c>
      <c r="B1324">
        <v>4</v>
      </c>
      <c r="C1324" t="s">
        <v>541</v>
      </c>
      <c r="D1324" t="s">
        <v>10</v>
      </c>
      <c r="E1324" t="s">
        <v>157</v>
      </c>
      <c r="F1324" t="s">
        <v>158</v>
      </c>
      <c r="G1324" t="s">
        <v>111</v>
      </c>
      <c r="I1324" s="42">
        <v>746.99</v>
      </c>
      <c r="J1324" s="42"/>
      <c r="K1324" s="42">
        <v>426.86</v>
      </c>
      <c r="L1324" s="42">
        <v>320.13</v>
      </c>
      <c r="N1324" s="42">
        <v>320.13</v>
      </c>
    </row>
    <row r="1325" spans="1:14" x14ac:dyDescent="0.25">
      <c r="A1325" s="1">
        <v>46077</v>
      </c>
      <c r="B1325">
        <v>4</v>
      </c>
      <c r="C1325" t="s">
        <v>541</v>
      </c>
      <c r="D1325" t="s">
        <v>10</v>
      </c>
      <c r="E1325" t="s">
        <v>106</v>
      </c>
      <c r="F1325" t="s">
        <v>12</v>
      </c>
      <c r="G1325" t="s">
        <v>13</v>
      </c>
      <c r="I1325" s="42">
        <v>746.99</v>
      </c>
      <c r="J1325" s="42"/>
      <c r="K1325" s="42">
        <v>106.71</v>
      </c>
      <c r="L1325" s="42">
        <v>640.28</v>
      </c>
      <c r="N1325" s="42">
        <v>640.28</v>
      </c>
    </row>
    <row r="1326" spans="1:14" x14ac:dyDescent="0.25">
      <c r="A1326" s="1">
        <v>46077</v>
      </c>
      <c r="B1326">
        <v>4</v>
      </c>
      <c r="C1326" t="s">
        <v>541</v>
      </c>
      <c r="D1326" t="s">
        <v>10</v>
      </c>
      <c r="E1326" t="s">
        <v>244</v>
      </c>
      <c r="F1326" t="s">
        <v>245</v>
      </c>
      <c r="G1326" t="s">
        <v>13</v>
      </c>
      <c r="I1326" s="42">
        <v>746.99</v>
      </c>
      <c r="J1326" s="42"/>
      <c r="K1326" s="42"/>
      <c r="L1326" s="42">
        <v>746.99</v>
      </c>
      <c r="N1326" s="42">
        <v>746.99</v>
      </c>
    </row>
    <row r="1327" spans="1:14" x14ac:dyDescent="0.25">
      <c r="A1327" s="1">
        <v>46077</v>
      </c>
      <c r="B1327">
        <v>4</v>
      </c>
      <c r="C1327" t="s">
        <v>541</v>
      </c>
      <c r="D1327" t="s">
        <v>10</v>
      </c>
      <c r="E1327" t="s">
        <v>166</v>
      </c>
      <c r="F1327" t="s">
        <v>12</v>
      </c>
      <c r="G1327" t="s">
        <v>13</v>
      </c>
      <c r="I1327" s="42">
        <v>746.99</v>
      </c>
      <c r="J1327" s="42"/>
      <c r="K1327" s="42">
        <v>1.99</v>
      </c>
      <c r="L1327" s="42">
        <v>745</v>
      </c>
      <c r="N1327" s="42">
        <v>745</v>
      </c>
    </row>
    <row r="1328" spans="1:14" x14ac:dyDescent="0.25">
      <c r="A1328" s="1">
        <v>46077</v>
      </c>
      <c r="B1328">
        <v>4</v>
      </c>
      <c r="C1328" t="s">
        <v>541</v>
      </c>
      <c r="D1328" t="s">
        <v>10</v>
      </c>
      <c r="E1328" t="s">
        <v>177</v>
      </c>
      <c r="F1328" t="s">
        <v>178</v>
      </c>
      <c r="G1328" t="s">
        <v>13</v>
      </c>
      <c r="I1328" s="42">
        <v>851.99</v>
      </c>
      <c r="J1328" s="42"/>
      <c r="K1328" s="42">
        <v>243.52</v>
      </c>
      <c r="L1328" s="42">
        <v>608.47</v>
      </c>
      <c r="N1328" s="42">
        <v>608.47</v>
      </c>
    </row>
    <row r="1329" spans="1:14" x14ac:dyDescent="0.25">
      <c r="A1329" s="1">
        <v>46077</v>
      </c>
      <c r="B1329">
        <v>4</v>
      </c>
      <c r="C1329" t="s">
        <v>541</v>
      </c>
      <c r="D1329" t="s">
        <v>10</v>
      </c>
      <c r="E1329" t="s">
        <v>182</v>
      </c>
      <c r="F1329" t="s">
        <v>25</v>
      </c>
      <c r="G1329" t="s">
        <v>183</v>
      </c>
      <c r="I1329" s="42">
        <v>1251.99</v>
      </c>
      <c r="J1329" s="42"/>
      <c r="K1329" s="42"/>
      <c r="L1329" s="42">
        <v>1251.99</v>
      </c>
      <c r="N1329" s="42">
        <v>1251.99</v>
      </c>
    </row>
    <row r="1330" spans="1:14" x14ac:dyDescent="0.25">
      <c r="A1330" s="1">
        <v>46077</v>
      </c>
      <c r="B1330">
        <v>4</v>
      </c>
      <c r="C1330" t="s">
        <v>541</v>
      </c>
      <c r="D1330" t="s">
        <v>10</v>
      </c>
      <c r="E1330" t="s">
        <v>707</v>
      </c>
      <c r="F1330" t="s">
        <v>73</v>
      </c>
      <c r="G1330" t="s">
        <v>13</v>
      </c>
      <c r="I1330" s="42">
        <v>2001.99</v>
      </c>
      <c r="J1330" s="42"/>
      <c r="K1330" s="42"/>
      <c r="L1330" s="42">
        <v>2001.99</v>
      </c>
      <c r="N1330" s="42">
        <v>2001.99</v>
      </c>
    </row>
    <row r="1331" spans="1:14" x14ac:dyDescent="0.25">
      <c r="A1331" s="1">
        <v>46077</v>
      </c>
      <c r="B1331">
        <v>4</v>
      </c>
      <c r="C1331" t="s">
        <v>541</v>
      </c>
      <c r="D1331" t="s">
        <v>10</v>
      </c>
      <c r="E1331" t="s">
        <v>328</v>
      </c>
      <c r="F1331" t="s">
        <v>55</v>
      </c>
      <c r="G1331" t="s">
        <v>13</v>
      </c>
      <c r="I1331" s="42">
        <v>746.99</v>
      </c>
      <c r="J1331" s="42">
        <v>53.01</v>
      </c>
      <c r="K1331" s="42"/>
      <c r="L1331" s="42">
        <v>800</v>
      </c>
      <c r="N1331" s="42">
        <v>800</v>
      </c>
    </row>
    <row r="1332" spans="1:14" x14ac:dyDescent="0.25">
      <c r="A1332" s="1">
        <v>46077</v>
      </c>
      <c r="B1332">
        <v>4</v>
      </c>
      <c r="C1332" t="s">
        <v>541</v>
      </c>
      <c r="D1332" t="s">
        <v>10</v>
      </c>
      <c r="E1332" t="s">
        <v>312</v>
      </c>
      <c r="F1332" t="s">
        <v>158</v>
      </c>
      <c r="G1332" t="s">
        <v>104</v>
      </c>
      <c r="I1332" s="42">
        <v>746.99</v>
      </c>
      <c r="J1332" s="42"/>
      <c r="K1332" s="42"/>
      <c r="L1332" s="42">
        <v>746.99</v>
      </c>
      <c r="N1332" s="42">
        <v>746.99</v>
      </c>
    </row>
    <row r="1333" spans="1:14" x14ac:dyDescent="0.25">
      <c r="A1333" s="1">
        <v>46077</v>
      </c>
      <c r="B1333">
        <v>4</v>
      </c>
      <c r="C1333" t="s">
        <v>541</v>
      </c>
      <c r="D1333" t="s">
        <v>10</v>
      </c>
      <c r="E1333" t="s">
        <v>257</v>
      </c>
      <c r="F1333" t="s">
        <v>158</v>
      </c>
      <c r="G1333" t="s">
        <v>111</v>
      </c>
      <c r="I1333" s="42">
        <v>746.99</v>
      </c>
      <c r="J1333" s="42">
        <v>35.01</v>
      </c>
      <c r="K1333" s="42"/>
      <c r="L1333" s="42">
        <v>782</v>
      </c>
      <c r="N1333" s="42">
        <v>782</v>
      </c>
    </row>
    <row r="1334" spans="1:14" x14ac:dyDescent="0.25">
      <c r="A1334" s="1">
        <v>46077</v>
      </c>
      <c r="B1334">
        <v>4</v>
      </c>
      <c r="C1334" t="s">
        <v>541</v>
      </c>
      <c r="D1334" t="s">
        <v>10</v>
      </c>
      <c r="E1334" t="s">
        <v>335</v>
      </c>
      <c r="F1334" t="s">
        <v>158</v>
      </c>
      <c r="G1334" t="s">
        <v>104</v>
      </c>
      <c r="I1334" s="42">
        <v>746.99</v>
      </c>
      <c r="J1334" s="42">
        <v>0.01</v>
      </c>
      <c r="K1334" s="42"/>
      <c r="L1334" s="42">
        <v>747</v>
      </c>
      <c r="N1334" s="42">
        <v>747</v>
      </c>
    </row>
    <row r="1335" spans="1:14" x14ac:dyDescent="0.25">
      <c r="A1335" s="1">
        <v>46077</v>
      </c>
      <c r="B1335">
        <v>4</v>
      </c>
      <c r="C1335" t="s">
        <v>541</v>
      </c>
      <c r="D1335" t="s">
        <v>10</v>
      </c>
      <c r="E1335" t="s">
        <v>250</v>
      </c>
      <c r="F1335" t="s">
        <v>12</v>
      </c>
      <c r="G1335" t="s">
        <v>13</v>
      </c>
      <c r="I1335" s="42">
        <v>746.99</v>
      </c>
      <c r="J1335" s="42">
        <v>60</v>
      </c>
      <c r="K1335" s="42"/>
      <c r="L1335" s="42">
        <v>806.99</v>
      </c>
      <c r="N1335" s="42">
        <v>806.99</v>
      </c>
    </row>
    <row r="1336" spans="1:14" x14ac:dyDescent="0.25">
      <c r="A1336" s="1">
        <v>46077</v>
      </c>
      <c r="B1336">
        <v>4</v>
      </c>
      <c r="C1336" t="s">
        <v>541</v>
      </c>
      <c r="D1336" t="s">
        <v>10</v>
      </c>
      <c r="E1336" t="s">
        <v>296</v>
      </c>
      <c r="F1336" t="s">
        <v>37</v>
      </c>
      <c r="G1336" t="s">
        <v>38</v>
      </c>
      <c r="I1336" s="42">
        <v>746.99</v>
      </c>
      <c r="J1336" s="42"/>
      <c r="K1336" s="42"/>
      <c r="L1336" s="42">
        <v>1041.99</v>
      </c>
      <c r="N1336" s="42">
        <v>746.99</v>
      </c>
    </row>
    <row r="1337" spans="1:14" x14ac:dyDescent="0.25">
      <c r="A1337" s="1">
        <v>46077</v>
      </c>
      <c r="B1337">
        <v>4</v>
      </c>
      <c r="C1337" t="s">
        <v>541</v>
      </c>
      <c r="D1337" t="s">
        <v>10</v>
      </c>
      <c r="E1337" t="s">
        <v>331</v>
      </c>
      <c r="F1337" t="s">
        <v>12</v>
      </c>
      <c r="G1337" t="s">
        <v>13</v>
      </c>
      <c r="I1337" s="42">
        <v>746.99</v>
      </c>
      <c r="J1337" s="42"/>
      <c r="K1337" s="42"/>
      <c r="L1337" s="42">
        <v>746.99</v>
      </c>
      <c r="N1337" s="42">
        <v>746.99</v>
      </c>
    </row>
    <row r="1338" spans="1:14" x14ac:dyDescent="0.25">
      <c r="A1338" s="1">
        <v>46077</v>
      </c>
      <c r="B1338">
        <v>4</v>
      </c>
      <c r="C1338" t="s">
        <v>541</v>
      </c>
      <c r="D1338" t="s">
        <v>10</v>
      </c>
      <c r="E1338" t="s">
        <v>121</v>
      </c>
      <c r="F1338" t="s">
        <v>52</v>
      </c>
      <c r="G1338" t="s">
        <v>122</v>
      </c>
      <c r="I1338" s="42">
        <v>1251.99</v>
      </c>
      <c r="J1338" s="42"/>
      <c r="K1338" s="42">
        <v>362.99</v>
      </c>
      <c r="L1338" s="42">
        <v>889</v>
      </c>
      <c r="N1338" s="42">
        <v>889</v>
      </c>
    </row>
    <row r="1339" spans="1:14" x14ac:dyDescent="0.25">
      <c r="A1339" s="1">
        <v>46077</v>
      </c>
      <c r="B1339">
        <v>4</v>
      </c>
      <c r="C1339" t="s">
        <v>541</v>
      </c>
      <c r="D1339" t="s">
        <v>10</v>
      </c>
      <c r="E1339" t="s">
        <v>185</v>
      </c>
      <c r="F1339" t="s">
        <v>12</v>
      </c>
      <c r="G1339" t="s">
        <v>13</v>
      </c>
      <c r="I1339" s="42">
        <v>746.99</v>
      </c>
      <c r="J1339" s="42"/>
      <c r="K1339" s="42">
        <v>0.99</v>
      </c>
      <c r="L1339" s="42">
        <v>746</v>
      </c>
      <c r="N1339" s="42">
        <v>746</v>
      </c>
    </row>
    <row r="1340" spans="1:14" x14ac:dyDescent="0.25">
      <c r="A1340" s="1">
        <v>46077</v>
      </c>
      <c r="B1340">
        <v>4</v>
      </c>
      <c r="C1340" t="s">
        <v>541</v>
      </c>
      <c r="D1340" t="s">
        <v>10</v>
      </c>
      <c r="E1340" t="s">
        <v>187</v>
      </c>
      <c r="F1340" t="s">
        <v>12</v>
      </c>
      <c r="G1340" t="s">
        <v>13</v>
      </c>
      <c r="I1340" s="42">
        <v>746.99</v>
      </c>
      <c r="J1340" s="42"/>
      <c r="K1340" s="42">
        <v>105.99</v>
      </c>
      <c r="L1340" s="42">
        <v>641</v>
      </c>
      <c r="N1340" s="42">
        <v>641</v>
      </c>
    </row>
    <row r="1341" spans="1:14" x14ac:dyDescent="0.25">
      <c r="A1341" s="1">
        <v>46077</v>
      </c>
      <c r="B1341">
        <v>4</v>
      </c>
      <c r="C1341" t="s">
        <v>541</v>
      </c>
      <c r="D1341" t="s">
        <v>10</v>
      </c>
      <c r="E1341" t="s">
        <v>308</v>
      </c>
      <c r="F1341" t="s">
        <v>28</v>
      </c>
      <c r="G1341" t="s">
        <v>13</v>
      </c>
      <c r="I1341" s="42">
        <v>931.99</v>
      </c>
      <c r="J1341" s="42"/>
      <c r="K1341" s="42"/>
      <c r="L1341" s="42">
        <v>931.99</v>
      </c>
      <c r="N1341" s="42">
        <v>931.99</v>
      </c>
    </row>
    <row r="1342" spans="1:14" x14ac:dyDescent="0.25">
      <c r="A1342" s="1">
        <v>46077</v>
      </c>
      <c r="B1342">
        <v>4</v>
      </c>
      <c r="C1342" t="s">
        <v>541</v>
      </c>
      <c r="D1342" t="s">
        <v>10</v>
      </c>
      <c r="E1342" t="s">
        <v>189</v>
      </c>
      <c r="F1342" t="s">
        <v>12</v>
      </c>
      <c r="G1342" t="s">
        <v>13</v>
      </c>
      <c r="I1342" s="42">
        <v>746.99</v>
      </c>
      <c r="J1342" s="42"/>
      <c r="K1342" s="42">
        <v>108.42</v>
      </c>
      <c r="L1342" s="42">
        <v>638.57000000000005</v>
      </c>
      <c r="N1342" s="42">
        <v>638.57000000000005</v>
      </c>
    </row>
    <row r="1343" spans="1:14" x14ac:dyDescent="0.25">
      <c r="A1343" s="1">
        <v>46077</v>
      </c>
      <c r="B1343">
        <v>4</v>
      </c>
      <c r="C1343" t="s">
        <v>541</v>
      </c>
      <c r="D1343" t="s">
        <v>10</v>
      </c>
      <c r="E1343" t="s">
        <v>191</v>
      </c>
      <c r="F1343" t="s">
        <v>55</v>
      </c>
      <c r="G1343" t="s">
        <v>13</v>
      </c>
      <c r="I1343" s="42">
        <v>746.99</v>
      </c>
      <c r="J1343" s="42">
        <v>150.01</v>
      </c>
      <c r="K1343" s="42"/>
      <c r="L1343" s="42">
        <v>897</v>
      </c>
      <c r="N1343" s="42">
        <v>897</v>
      </c>
    </row>
    <row r="1344" spans="1:14" x14ac:dyDescent="0.25">
      <c r="A1344" s="1">
        <v>46077</v>
      </c>
      <c r="B1344">
        <v>4</v>
      </c>
      <c r="C1344" t="s">
        <v>541</v>
      </c>
      <c r="D1344" t="s">
        <v>10</v>
      </c>
      <c r="E1344" t="s">
        <v>193</v>
      </c>
      <c r="F1344" t="s">
        <v>12</v>
      </c>
      <c r="G1344" t="s">
        <v>13</v>
      </c>
      <c r="I1344" s="42">
        <v>746.99</v>
      </c>
      <c r="J1344" s="42"/>
      <c r="K1344" s="42">
        <v>1.99</v>
      </c>
      <c r="L1344" s="42">
        <v>745</v>
      </c>
      <c r="N1344" s="42">
        <v>745</v>
      </c>
    </row>
    <row r="1345" spans="1:14" x14ac:dyDescent="0.25">
      <c r="A1345" s="1">
        <v>46077</v>
      </c>
      <c r="B1345">
        <v>4</v>
      </c>
      <c r="C1345" t="s">
        <v>541</v>
      </c>
      <c r="D1345" t="s">
        <v>10</v>
      </c>
      <c r="E1345" t="s">
        <v>195</v>
      </c>
      <c r="F1345" t="s">
        <v>196</v>
      </c>
      <c r="G1345" t="s">
        <v>22</v>
      </c>
      <c r="I1345" s="42">
        <v>681.99</v>
      </c>
      <c r="J1345" s="42"/>
      <c r="K1345" s="42">
        <v>390.56</v>
      </c>
      <c r="L1345" s="42">
        <v>291.43</v>
      </c>
      <c r="N1345" s="42">
        <v>291.43</v>
      </c>
    </row>
    <row r="1346" spans="1:14" x14ac:dyDescent="0.25">
      <c r="A1346" s="1">
        <v>46077</v>
      </c>
      <c r="B1346">
        <v>4</v>
      </c>
      <c r="C1346" t="s">
        <v>541</v>
      </c>
      <c r="D1346" t="s">
        <v>10</v>
      </c>
      <c r="E1346" t="s">
        <v>201</v>
      </c>
      <c r="F1346" t="s">
        <v>202</v>
      </c>
      <c r="G1346" t="s">
        <v>56</v>
      </c>
      <c r="I1346" s="42">
        <v>831.99</v>
      </c>
      <c r="J1346" s="42"/>
      <c r="K1346" s="42"/>
      <c r="L1346" s="42">
        <v>831.99</v>
      </c>
      <c r="N1346" s="42">
        <v>831.99</v>
      </c>
    </row>
    <row r="1347" spans="1:14" x14ac:dyDescent="0.25">
      <c r="A1347" s="1">
        <v>46077</v>
      </c>
      <c r="B1347">
        <v>4</v>
      </c>
      <c r="C1347" t="s">
        <v>541</v>
      </c>
      <c r="D1347" t="s">
        <v>10</v>
      </c>
      <c r="E1347" t="s">
        <v>207</v>
      </c>
      <c r="F1347" t="s">
        <v>33</v>
      </c>
      <c r="G1347" t="s">
        <v>13</v>
      </c>
      <c r="I1347" s="42">
        <v>851.99</v>
      </c>
      <c r="J1347" s="42"/>
      <c r="K1347" s="42"/>
      <c r="L1347" s="42">
        <v>851.99</v>
      </c>
      <c r="N1347" s="42">
        <v>851.99</v>
      </c>
    </row>
    <row r="1348" spans="1:14" x14ac:dyDescent="0.25">
      <c r="A1348" s="1">
        <v>46077</v>
      </c>
      <c r="B1348">
        <v>4</v>
      </c>
      <c r="C1348" t="s">
        <v>541</v>
      </c>
      <c r="D1348" t="s">
        <v>10</v>
      </c>
      <c r="E1348" t="s">
        <v>210</v>
      </c>
      <c r="F1348" t="s">
        <v>211</v>
      </c>
      <c r="G1348" t="s">
        <v>13</v>
      </c>
      <c r="I1348" s="42">
        <v>851.99</v>
      </c>
      <c r="J1348" s="42"/>
      <c r="K1348" s="42">
        <v>1.99</v>
      </c>
      <c r="L1348" s="42">
        <v>850</v>
      </c>
      <c r="N1348" s="42">
        <v>850</v>
      </c>
    </row>
    <row r="1349" spans="1:14" x14ac:dyDescent="0.25">
      <c r="A1349" s="1">
        <v>46077</v>
      </c>
      <c r="B1349">
        <v>4</v>
      </c>
      <c r="C1349" t="s">
        <v>541</v>
      </c>
      <c r="D1349" t="s">
        <v>10</v>
      </c>
      <c r="E1349" t="s">
        <v>213</v>
      </c>
      <c r="F1349" t="s">
        <v>214</v>
      </c>
      <c r="G1349" t="s">
        <v>13</v>
      </c>
      <c r="I1349" s="42">
        <v>851.99</v>
      </c>
      <c r="J1349" s="42"/>
      <c r="K1349" s="42"/>
      <c r="L1349" s="42">
        <v>851.99</v>
      </c>
      <c r="N1349" s="42">
        <v>851.99</v>
      </c>
    </row>
    <row r="1350" spans="1:14" x14ac:dyDescent="0.25">
      <c r="A1350" s="1">
        <v>46077</v>
      </c>
      <c r="B1350">
        <v>4</v>
      </c>
      <c r="C1350" t="s">
        <v>541</v>
      </c>
      <c r="D1350" t="s">
        <v>10</v>
      </c>
      <c r="E1350" t="s">
        <v>291</v>
      </c>
      <c r="F1350" t="s">
        <v>41</v>
      </c>
      <c r="G1350" t="s">
        <v>13</v>
      </c>
      <c r="I1350" s="42">
        <v>746.99</v>
      </c>
      <c r="J1350" s="42"/>
      <c r="K1350" s="42"/>
      <c r="L1350" s="42">
        <v>746.99</v>
      </c>
      <c r="N1350" s="42">
        <v>746.99</v>
      </c>
    </row>
    <row r="1351" spans="1:14" x14ac:dyDescent="0.25">
      <c r="A1351" s="1">
        <v>46077</v>
      </c>
      <c r="B1351">
        <v>4</v>
      </c>
      <c r="C1351" t="s">
        <v>541</v>
      </c>
      <c r="D1351" t="s">
        <v>10</v>
      </c>
      <c r="E1351" t="s">
        <v>216</v>
      </c>
      <c r="F1351" t="s">
        <v>217</v>
      </c>
      <c r="G1351" t="s">
        <v>13</v>
      </c>
      <c r="I1351" s="42">
        <v>746.99</v>
      </c>
      <c r="J1351" s="42">
        <v>30</v>
      </c>
      <c r="K1351" s="42"/>
      <c r="L1351" s="42">
        <v>776.99</v>
      </c>
      <c r="N1351" s="42">
        <v>776.99</v>
      </c>
    </row>
    <row r="1352" spans="1:14" x14ac:dyDescent="0.25">
      <c r="A1352" s="1">
        <v>46077</v>
      </c>
      <c r="B1352">
        <v>4</v>
      </c>
      <c r="C1352" t="s">
        <v>541</v>
      </c>
      <c r="D1352" t="s">
        <v>10</v>
      </c>
      <c r="E1352" t="s">
        <v>219</v>
      </c>
      <c r="F1352" t="s">
        <v>12</v>
      </c>
      <c r="G1352" t="s">
        <v>13</v>
      </c>
      <c r="I1352" s="42">
        <v>746.99</v>
      </c>
      <c r="J1352" s="42">
        <v>53.01</v>
      </c>
      <c r="K1352" s="42"/>
      <c r="L1352" s="42">
        <v>800</v>
      </c>
      <c r="N1352" s="42">
        <v>800</v>
      </c>
    </row>
    <row r="1353" spans="1:14" x14ac:dyDescent="0.25">
      <c r="A1353" s="1">
        <v>46077</v>
      </c>
      <c r="B1353">
        <v>4</v>
      </c>
      <c r="C1353" t="s">
        <v>541</v>
      </c>
      <c r="D1353" t="s">
        <v>10</v>
      </c>
      <c r="E1353" t="s">
        <v>223</v>
      </c>
      <c r="F1353" t="s">
        <v>41</v>
      </c>
      <c r="G1353" t="s">
        <v>22</v>
      </c>
      <c r="I1353" s="42">
        <v>746.99</v>
      </c>
      <c r="J1353" s="42"/>
      <c r="K1353" s="42"/>
      <c r="L1353" s="42">
        <v>746.99</v>
      </c>
      <c r="N1353" s="42">
        <v>746.99</v>
      </c>
    </row>
    <row r="1354" spans="1:14" x14ac:dyDescent="0.25">
      <c r="A1354" s="1">
        <v>46077</v>
      </c>
      <c r="B1354">
        <v>4</v>
      </c>
      <c r="C1354" t="s">
        <v>541</v>
      </c>
      <c r="D1354" t="s">
        <v>10</v>
      </c>
      <c r="E1354" t="s">
        <v>225</v>
      </c>
      <c r="F1354" t="s">
        <v>217</v>
      </c>
      <c r="G1354" t="s">
        <v>22</v>
      </c>
      <c r="I1354" s="42">
        <v>746.99</v>
      </c>
      <c r="J1354" s="42"/>
      <c r="K1354" s="42">
        <v>1.99</v>
      </c>
      <c r="L1354" s="42">
        <v>745</v>
      </c>
      <c r="N1354" s="42">
        <v>745</v>
      </c>
    </row>
    <row r="1355" spans="1:14" x14ac:dyDescent="0.25">
      <c r="A1355" s="1">
        <v>46077</v>
      </c>
      <c r="B1355">
        <v>4</v>
      </c>
      <c r="C1355" t="s">
        <v>541</v>
      </c>
      <c r="D1355" t="s">
        <v>10</v>
      </c>
      <c r="E1355" t="s">
        <v>227</v>
      </c>
      <c r="F1355" t="s">
        <v>12</v>
      </c>
      <c r="G1355" t="s">
        <v>104</v>
      </c>
      <c r="I1355" s="42">
        <v>746</v>
      </c>
      <c r="J1355" s="42"/>
      <c r="K1355" s="42"/>
      <c r="L1355" s="42">
        <v>746</v>
      </c>
      <c r="N1355" s="42">
        <v>746</v>
      </c>
    </row>
    <row r="1356" spans="1:14" x14ac:dyDescent="0.25">
      <c r="A1356" s="1">
        <v>46077</v>
      </c>
      <c r="B1356">
        <v>4</v>
      </c>
      <c r="C1356" t="s">
        <v>541</v>
      </c>
      <c r="D1356" t="s">
        <v>10</v>
      </c>
      <c r="E1356" t="s">
        <v>229</v>
      </c>
      <c r="F1356" t="s">
        <v>230</v>
      </c>
      <c r="G1356" t="s">
        <v>22</v>
      </c>
      <c r="I1356" s="42">
        <v>746.99</v>
      </c>
      <c r="J1356" s="42"/>
      <c r="K1356" s="42"/>
      <c r="L1356" s="42">
        <v>746.99</v>
      </c>
      <c r="N1356" s="42">
        <v>746.99</v>
      </c>
    </row>
    <row r="1357" spans="1:14" x14ac:dyDescent="0.25">
      <c r="A1357" s="1">
        <v>46077</v>
      </c>
      <c r="B1357">
        <v>4</v>
      </c>
      <c r="C1357" t="s">
        <v>541</v>
      </c>
      <c r="D1357" t="s">
        <v>10</v>
      </c>
      <c r="E1357" t="s">
        <v>232</v>
      </c>
      <c r="F1357" t="s">
        <v>158</v>
      </c>
      <c r="G1357" t="s">
        <v>22</v>
      </c>
      <c r="I1357" s="42">
        <v>746.99</v>
      </c>
      <c r="J1357" s="42"/>
      <c r="K1357" s="42">
        <v>1.99</v>
      </c>
      <c r="L1357" s="42">
        <v>745</v>
      </c>
      <c r="N1357" s="42">
        <v>745</v>
      </c>
    </row>
    <row r="1358" spans="1:14" x14ac:dyDescent="0.25">
      <c r="A1358" s="1">
        <v>46077</v>
      </c>
      <c r="B1358">
        <v>4</v>
      </c>
      <c r="C1358" t="s">
        <v>541</v>
      </c>
      <c r="D1358" t="s">
        <v>10</v>
      </c>
      <c r="E1358" t="s">
        <v>236</v>
      </c>
      <c r="F1358" t="s">
        <v>158</v>
      </c>
      <c r="G1358" t="s">
        <v>104</v>
      </c>
      <c r="I1358" s="42">
        <v>746.99</v>
      </c>
      <c r="J1358" s="42">
        <v>180</v>
      </c>
      <c r="K1358" s="42"/>
      <c r="L1358" s="42">
        <v>926.99</v>
      </c>
      <c r="N1358" s="42">
        <v>926.99</v>
      </c>
    </row>
    <row r="1359" spans="1:14" x14ac:dyDescent="0.25">
      <c r="A1359" s="1">
        <v>46077</v>
      </c>
      <c r="B1359">
        <v>4</v>
      </c>
      <c r="C1359" t="s">
        <v>541</v>
      </c>
      <c r="D1359" t="s">
        <v>10</v>
      </c>
      <c r="E1359" t="s">
        <v>238</v>
      </c>
      <c r="F1359" t="s">
        <v>158</v>
      </c>
      <c r="G1359" t="s">
        <v>66</v>
      </c>
      <c r="I1359" s="42">
        <v>746.99</v>
      </c>
      <c r="J1359" s="42"/>
      <c r="K1359" s="42">
        <v>0.99</v>
      </c>
      <c r="L1359" s="42">
        <v>746</v>
      </c>
      <c r="N1359" s="42">
        <v>746</v>
      </c>
    </row>
    <row r="1360" spans="1:14" x14ac:dyDescent="0.25">
      <c r="A1360" s="1">
        <v>46077</v>
      </c>
      <c r="B1360">
        <v>4</v>
      </c>
      <c r="C1360" t="s">
        <v>541</v>
      </c>
      <c r="D1360" t="s">
        <v>10</v>
      </c>
      <c r="E1360" t="s">
        <v>240</v>
      </c>
      <c r="F1360" t="s">
        <v>158</v>
      </c>
      <c r="G1360" t="s">
        <v>111</v>
      </c>
      <c r="I1360" s="42">
        <v>746.99</v>
      </c>
      <c r="J1360" s="42">
        <v>30</v>
      </c>
      <c r="K1360" s="42"/>
      <c r="L1360" s="42">
        <v>776.99</v>
      </c>
      <c r="N1360" s="42">
        <v>776.99</v>
      </c>
    </row>
    <row r="1361" spans="1:14" x14ac:dyDescent="0.25">
      <c r="A1361" s="1">
        <v>46077</v>
      </c>
      <c r="B1361">
        <v>4</v>
      </c>
      <c r="C1361" t="s">
        <v>541</v>
      </c>
      <c r="D1361" t="s">
        <v>10</v>
      </c>
      <c r="E1361" t="s">
        <v>242</v>
      </c>
      <c r="F1361" t="s">
        <v>217</v>
      </c>
      <c r="G1361" t="s">
        <v>13</v>
      </c>
      <c r="I1361" s="42">
        <v>745</v>
      </c>
      <c r="J1361" s="42"/>
      <c r="K1361" s="42"/>
      <c r="L1361" s="42">
        <v>745</v>
      </c>
      <c r="N1361" s="42">
        <v>745</v>
      </c>
    </row>
    <row r="1362" spans="1:14" x14ac:dyDescent="0.25">
      <c r="A1362" s="1">
        <v>46077</v>
      </c>
      <c r="B1362">
        <v>4</v>
      </c>
      <c r="C1362" t="s">
        <v>541</v>
      </c>
      <c r="D1362" t="s">
        <v>336</v>
      </c>
      <c r="E1362" t="s">
        <v>248</v>
      </c>
      <c r="F1362" t="s">
        <v>12</v>
      </c>
      <c r="G1362" t="s">
        <v>13</v>
      </c>
      <c r="I1362" s="42">
        <v>746.99</v>
      </c>
      <c r="J1362" s="42"/>
      <c r="K1362" s="42"/>
      <c r="L1362" s="42">
        <v>746.99</v>
      </c>
      <c r="N1362" s="42"/>
    </row>
    <row r="1363" spans="1:14" x14ac:dyDescent="0.25">
      <c r="A1363" s="1">
        <v>46077</v>
      </c>
      <c r="B1363">
        <v>4</v>
      </c>
      <c r="C1363" t="s">
        <v>541</v>
      </c>
      <c r="D1363" t="s">
        <v>10</v>
      </c>
      <c r="E1363" t="s">
        <v>252</v>
      </c>
      <c r="F1363" t="s">
        <v>158</v>
      </c>
      <c r="G1363" t="s">
        <v>22</v>
      </c>
      <c r="I1363" s="42">
        <v>746.99</v>
      </c>
      <c r="J1363" s="42"/>
      <c r="K1363" s="42"/>
      <c r="L1363" s="42">
        <v>746.99</v>
      </c>
      <c r="N1363" s="42">
        <v>746.99</v>
      </c>
    </row>
    <row r="1364" spans="1:14" x14ac:dyDescent="0.25">
      <c r="A1364" s="1">
        <v>46077</v>
      </c>
      <c r="B1364">
        <v>4</v>
      </c>
      <c r="C1364" t="s">
        <v>541</v>
      </c>
      <c r="D1364" t="s">
        <v>10</v>
      </c>
      <c r="E1364" t="s">
        <v>254</v>
      </c>
      <c r="F1364" t="s">
        <v>255</v>
      </c>
      <c r="G1364" t="s">
        <v>66</v>
      </c>
      <c r="I1364" s="42">
        <v>851.99</v>
      </c>
      <c r="J1364" s="42"/>
      <c r="K1364" s="42">
        <v>1.99</v>
      </c>
      <c r="L1364" s="42">
        <v>850</v>
      </c>
      <c r="N1364" s="42">
        <v>850</v>
      </c>
    </row>
    <row r="1365" spans="1:14" x14ac:dyDescent="0.25">
      <c r="A1365" s="1">
        <v>46077</v>
      </c>
      <c r="B1365">
        <v>4</v>
      </c>
      <c r="C1365" t="s">
        <v>541</v>
      </c>
      <c r="D1365" t="s">
        <v>10</v>
      </c>
      <c r="E1365" t="s">
        <v>329</v>
      </c>
      <c r="F1365" t="s">
        <v>158</v>
      </c>
      <c r="G1365" t="s">
        <v>104</v>
      </c>
      <c r="I1365" s="42">
        <v>746.99</v>
      </c>
      <c r="J1365" s="42">
        <v>3.01</v>
      </c>
      <c r="K1365" s="42"/>
      <c r="L1365" s="42">
        <v>750</v>
      </c>
      <c r="N1365" s="42">
        <v>750</v>
      </c>
    </row>
    <row r="1366" spans="1:14" x14ac:dyDescent="0.25">
      <c r="A1366" s="1">
        <v>46077</v>
      </c>
      <c r="B1366">
        <v>4</v>
      </c>
      <c r="C1366" t="s">
        <v>541</v>
      </c>
      <c r="D1366" t="s">
        <v>10</v>
      </c>
      <c r="E1366" t="s">
        <v>259</v>
      </c>
      <c r="F1366" t="s">
        <v>260</v>
      </c>
      <c r="G1366" t="s">
        <v>261</v>
      </c>
      <c r="I1366" s="42">
        <v>881.99</v>
      </c>
      <c r="J1366" s="42"/>
      <c r="K1366" s="42"/>
      <c r="L1366" s="42">
        <v>881.99</v>
      </c>
      <c r="N1366" s="42">
        <v>881.99</v>
      </c>
    </row>
    <row r="1367" spans="1:14" x14ac:dyDescent="0.25">
      <c r="A1367" s="1">
        <v>46077</v>
      </c>
      <c r="B1367">
        <v>4</v>
      </c>
      <c r="C1367" t="s">
        <v>541</v>
      </c>
      <c r="D1367" t="s">
        <v>10</v>
      </c>
      <c r="E1367" t="s">
        <v>266</v>
      </c>
      <c r="F1367" t="s">
        <v>55</v>
      </c>
      <c r="G1367" t="s">
        <v>13</v>
      </c>
      <c r="I1367" s="42">
        <v>746.99</v>
      </c>
      <c r="J1367" s="42"/>
      <c r="K1367" s="42">
        <v>1.99</v>
      </c>
      <c r="L1367" s="42">
        <v>745</v>
      </c>
      <c r="N1367" s="42">
        <v>745</v>
      </c>
    </row>
    <row r="1368" spans="1:14" x14ac:dyDescent="0.25">
      <c r="A1368" s="1">
        <v>46077</v>
      </c>
      <c r="B1368">
        <v>4</v>
      </c>
      <c r="C1368" t="s">
        <v>541</v>
      </c>
      <c r="D1368" t="s">
        <v>336</v>
      </c>
      <c r="E1368" t="s">
        <v>268</v>
      </c>
      <c r="F1368" t="s">
        <v>52</v>
      </c>
      <c r="G1368" t="s">
        <v>77</v>
      </c>
      <c r="I1368" s="42">
        <v>1251.99</v>
      </c>
      <c r="J1368" s="42"/>
      <c r="K1368" s="42"/>
      <c r="L1368" s="42">
        <v>1251.99</v>
      </c>
      <c r="N1368" s="42"/>
    </row>
    <row r="1369" spans="1:14" x14ac:dyDescent="0.25">
      <c r="A1369" s="1">
        <v>46077</v>
      </c>
      <c r="B1369">
        <v>4</v>
      </c>
      <c r="C1369" t="s">
        <v>541</v>
      </c>
      <c r="D1369" t="s">
        <v>10</v>
      </c>
      <c r="E1369" t="s">
        <v>270</v>
      </c>
      <c r="F1369" t="s">
        <v>12</v>
      </c>
      <c r="G1369" t="s">
        <v>13</v>
      </c>
      <c r="I1369" s="42">
        <v>746.99</v>
      </c>
      <c r="J1369" s="42"/>
      <c r="K1369" s="42"/>
      <c r="L1369" s="42">
        <v>746.99</v>
      </c>
      <c r="N1369" s="42">
        <v>746.99</v>
      </c>
    </row>
    <row r="1370" spans="1:14" x14ac:dyDescent="0.25">
      <c r="A1370" s="1">
        <v>46077</v>
      </c>
      <c r="B1370">
        <v>4</v>
      </c>
      <c r="C1370" t="s">
        <v>541</v>
      </c>
      <c r="D1370" t="s">
        <v>10</v>
      </c>
      <c r="E1370" t="s">
        <v>272</v>
      </c>
      <c r="F1370" t="s">
        <v>37</v>
      </c>
      <c r="G1370" t="s">
        <v>38</v>
      </c>
      <c r="I1370" s="42">
        <v>746.99</v>
      </c>
      <c r="J1370" s="42">
        <v>28.01</v>
      </c>
      <c r="K1370" s="42"/>
      <c r="L1370" s="42">
        <v>775</v>
      </c>
      <c r="N1370" s="42">
        <v>775</v>
      </c>
    </row>
    <row r="1371" spans="1:14" x14ac:dyDescent="0.25">
      <c r="A1371" s="1">
        <v>46077</v>
      </c>
      <c r="B1371">
        <v>4</v>
      </c>
      <c r="C1371" t="s">
        <v>541</v>
      </c>
      <c r="D1371" t="s">
        <v>10</v>
      </c>
      <c r="E1371" t="s">
        <v>274</v>
      </c>
      <c r="F1371" t="s">
        <v>52</v>
      </c>
      <c r="G1371" t="s">
        <v>77</v>
      </c>
      <c r="I1371" s="42">
        <v>1251.99</v>
      </c>
      <c r="J1371" s="42">
        <v>60.01</v>
      </c>
      <c r="K1371" s="42"/>
      <c r="L1371" s="42">
        <v>1312</v>
      </c>
      <c r="M1371" s="37">
        <v>219.5</v>
      </c>
      <c r="N1371" s="42">
        <v>1312</v>
      </c>
    </row>
    <row r="1372" spans="1:14" x14ac:dyDescent="0.25">
      <c r="A1372" s="1">
        <v>46077</v>
      </c>
      <c r="B1372">
        <v>4</v>
      </c>
      <c r="C1372" t="s">
        <v>541</v>
      </c>
      <c r="D1372" t="s">
        <v>10</v>
      </c>
      <c r="E1372" t="s">
        <v>276</v>
      </c>
      <c r="F1372" t="s">
        <v>277</v>
      </c>
      <c r="G1372" t="s">
        <v>13</v>
      </c>
      <c r="I1372" s="42">
        <v>746.99</v>
      </c>
      <c r="J1372" s="42"/>
      <c r="K1372" s="42">
        <v>369.03</v>
      </c>
      <c r="L1372" s="42">
        <v>377.96</v>
      </c>
      <c r="N1372" s="42">
        <v>377.96</v>
      </c>
    </row>
    <row r="1373" spans="1:14" x14ac:dyDescent="0.25">
      <c r="A1373" s="1">
        <v>46077</v>
      </c>
      <c r="B1373">
        <v>4</v>
      </c>
      <c r="C1373" t="s">
        <v>541</v>
      </c>
      <c r="D1373" t="s">
        <v>10</v>
      </c>
      <c r="E1373" t="s">
        <v>279</v>
      </c>
      <c r="F1373" t="s">
        <v>55</v>
      </c>
      <c r="G1373" t="s">
        <v>56</v>
      </c>
      <c r="I1373" s="42">
        <v>746.99</v>
      </c>
      <c r="J1373" s="42">
        <v>3.01</v>
      </c>
      <c r="K1373" s="42"/>
      <c r="L1373" s="42">
        <v>750</v>
      </c>
      <c r="N1373" s="42">
        <v>750</v>
      </c>
    </row>
    <row r="1374" spans="1:14" x14ac:dyDescent="0.25">
      <c r="A1374" s="1">
        <v>46077</v>
      </c>
      <c r="B1374">
        <v>4</v>
      </c>
      <c r="C1374" t="s">
        <v>541</v>
      </c>
      <c r="D1374" t="s">
        <v>10</v>
      </c>
      <c r="E1374" t="s">
        <v>285</v>
      </c>
      <c r="F1374" t="s">
        <v>76</v>
      </c>
      <c r="G1374" t="s">
        <v>77</v>
      </c>
      <c r="I1374" s="42">
        <v>1451.99</v>
      </c>
      <c r="J1374" s="42">
        <v>18.010000000000002</v>
      </c>
      <c r="K1374" s="42"/>
      <c r="L1374" s="42">
        <v>1470</v>
      </c>
      <c r="N1374" s="42">
        <v>1470</v>
      </c>
    </row>
    <row r="1375" spans="1:14" x14ac:dyDescent="0.25">
      <c r="A1375" s="1">
        <v>46077</v>
      </c>
      <c r="B1375">
        <v>4</v>
      </c>
      <c r="C1375" t="s">
        <v>541</v>
      </c>
      <c r="D1375" t="s">
        <v>10</v>
      </c>
      <c r="E1375" t="s">
        <v>293</v>
      </c>
      <c r="F1375" t="s">
        <v>294</v>
      </c>
      <c r="G1375" t="s">
        <v>13</v>
      </c>
      <c r="I1375" s="42">
        <v>746.99</v>
      </c>
      <c r="J1375" s="42"/>
      <c r="K1375" s="42"/>
      <c r="L1375" s="42">
        <v>746.99</v>
      </c>
      <c r="N1375" s="42">
        <v>746.99</v>
      </c>
    </row>
    <row r="1376" spans="1:14" x14ac:dyDescent="0.25">
      <c r="A1376" s="1">
        <v>46077</v>
      </c>
      <c r="B1376">
        <v>4</v>
      </c>
      <c r="C1376" t="s">
        <v>541</v>
      </c>
      <c r="D1376" t="s">
        <v>10</v>
      </c>
      <c r="E1376" t="s">
        <v>295</v>
      </c>
      <c r="F1376" t="s">
        <v>33</v>
      </c>
      <c r="G1376" t="s">
        <v>13</v>
      </c>
      <c r="I1376" s="42">
        <v>851.99</v>
      </c>
      <c r="J1376" s="42"/>
      <c r="K1376" s="42"/>
      <c r="L1376" s="42">
        <v>851.99</v>
      </c>
      <c r="N1376" s="42">
        <v>851.99</v>
      </c>
    </row>
    <row r="1377" spans="1:14" x14ac:dyDescent="0.25">
      <c r="A1377" s="1">
        <v>46077</v>
      </c>
      <c r="B1377">
        <v>4</v>
      </c>
      <c r="C1377" t="s">
        <v>541</v>
      </c>
      <c r="D1377" t="s">
        <v>10</v>
      </c>
      <c r="E1377" t="s">
        <v>108</v>
      </c>
      <c r="F1377" t="s">
        <v>55</v>
      </c>
      <c r="G1377" t="s">
        <v>104</v>
      </c>
      <c r="I1377" s="42">
        <v>746.99</v>
      </c>
      <c r="J1377" s="42"/>
      <c r="K1377" s="42"/>
      <c r="L1377" s="42">
        <v>746.99</v>
      </c>
      <c r="N1377" s="42">
        <v>746.99</v>
      </c>
    </row>
    <row r="1378" spans="1:14" x14ac:dyDescent="0.25">
      <c r="A1378" s="1">
        <v>46077</v>
      </c>
      <c r="B1378">
        <v>4</v>
      </c>
      <c r="C1378" t="s">
        <v>541</v>
      </c>
      <c r="D1378" t="s">
        <v>336</v>
      </c>
      <c r="E1378" t="s">
        <v>100</v>
      </c>
      <c r="F1378" t="s">
        <v>101</v>
      </c>
      <c r="G1378" t="s">
        <v>13</v>
      </c>
      <c r="I1378" s="42">
        <v>1351.99</v>
      </c>
      <c r="J1378" s="42"/>
      <c r="K1378" s="42"/>
      <c r="L1378" s="42">
        <v>1351.99</v>
      </c>
      <c r="N1378" s="42"/>
    </row>
    <row r="1379" spans="1:14" x14ac:dyDescent="0.25">
      <c r="A1379" s="1">
        <v>46077</v>
      </c>
      <c r="B1379">
        <v>4</v>
      </c>
      <c r="C1379" t="s">
        <v>541</v>
      </c>
      <c r="D1379" t="s">
        <v>10</v>
      </c>
      <c r="E1379" t="s">
        <v>204</v>
      </c>
      <c r="F1379" t="s">
        <v>12</v>
      </c>
      <c r="G1379" t="s">
        <v>13</v>
      </c>
      <c r="I1379" s="42">
        <v>746.99</v>
      </c>
      <c r="J1379" s="42"/>
      <c r="K1379" s="42">
        <v>213.42</v>
      </c>
      <c r="L1379" s="42">
        <v>533.57000000000005</v>
      </c>
      <c r="N1379" s="42">
        <v>533.57000000000005</v>
      </c>
    </row>
    <row r="1380" spans="1:14" x14ac:dyDescent="0.25">
      <c r="A1380" s="1">
        <v>46077</v>
      </c>
      <c r="B1380">
        <v>4</v>
      </c>
      <c r="C1380" t="s">
        <v>541</v>
      </c>
      <c r="D1380" t="s">
        <v>10</v>
      </c>
      <c r="E1380" t="s">
        <v>209</v>
      </c>
      <c r="F1380" t="s">
        <v>33</v>
      </c>
      <c r="G1380" t="s">
        <v>13</v>
      </c>
      <c r="I1380" s="42">
        <v>851.99</v>
      </c>
      <c r="J1380" s="42"/>
      <c r="K1380" s="42"/>
      <c r="L1380" s="42">
        <v>851.99</v>
      </c>
      <c r="N1380" s="42">
        <v>851.99</v>
      </c>
    </row>
    <row r="1381" spans="1:14" x14ac:dyDescent="0.25">
      <c r="A1381" s="1">
        <v>46077</v>
      </c>
      <c r="B1381">
        <v>4</v>
      </c>
      <c r="C1381" t="s">
        <v>541</v>
      </c>
      <c r="D1381" t="s">
        <v>10</v>
      </c>
      <c r="E1381" t="s">
        <v>341</v>
      </c>
      <c r="F1381" t="s">
        <v>52</v>
      </c>
      <c r="G1381" t="s">
        <v>183</v>
      </c>
      <c r="I1381" s="42">
        <v>1251.99</v>
      </c>
      <c r="J1381" s="42"/>
      <c r="K1381" s="42"/>
      <c r="L1381" s="42">
        <v>1251.99</v>
      </c>
      <c r="N1381" s="42">
        <v>1251.99</v>
      </c>
    </row>
    <row r="1382" spans="1:14" x14ac:dyDescent="0.25">
      <c r="A1382" s="1">
        <v>46077</v>
      </c>
      <c r="B1382">
        <v>4</v>
      </c>
      <c r="C1382" t="s">
        <v>541</v>
      </c>
      <c r="D1382" t="s">
        <v>10</v>
      </c>
      <c r="E1382" t="s">
        <v>175</v>
      </c>
      <c r="F1382" t="s">
        <v>52</v>
      </c>
      <c r="G1382" t="s">
        <v>77</v>
      </c>
      <c r="I1382" s="42">
        <v>1251.99</v>
      </c>
      <c r="J1382" s="42">
        <v>48.01</v>
      </c>
      <c r="K1382" s="42"/>
      <c r="L1382" s="42">
        <v>1300</v>
      </c>
      <c r="N1382" s="42">
        <v>1300</v>
      </c>
    </row>
    <row r="1383" spans="1:14" x14ac:dyDescent="0.25">
      <c r="A1383" s="1">
        <v>46077</v>
      </c>
      <c r="B1383">
        <v>4</v>
      </c>
      <c r="C1383" t="s">
        <v>541</v>
      </c>
      <c r="D1383" t="s">
        <v>10</v>
      </c>
      <c r="E1383" t="s">
        <v>342</v>
      </c>
      <c r="F1383" t="s">
        <v>41</v>
      </c>
      <c r="G1383" t="s">
        <v>13</v>
      </c>
      <c r="I1383" s="42">
        <v>746.99</v>
      </c>
      <c r="J1383" s="42"/>
      <c r="K1383" s="42"/>
      <c r="L1383" s="42">
        <v>746.99</v>
      </c>
      <c r="N1383" s="42">
        <v>746.99</v>
      </c>
    </row>
    <row r="1384" spans="1:14" x14ac:dyDescent="0.25">
      <c r="A1384" s="1">
        <v>46077</v>
      </c>
      <c r="B1384">
        <v>4</v>
      </c>
      <c r="C1384" t="s">
        <v>541</v>
      </c>
      <c r="D1384" t="s">
        <v>10</v>
      </c>
      <c r="E1384" t="s">
        <v>221</v>
      </c>
      <c r="F1384" t="s">
        <v>37</v>
      </c>
      <c r="G1384" t="s">
        <v>70</v>
      </c>
      <c r="I1384" s="42">
        <v>746.99</v>
      </c>
      <c r="J1384" s="42"/>
      <c r="K1384" s="42"/>
      <c r="L1384" s="42">
        <v>746.99</v>
      </c>
      <c r="N1384" s="42">
        <v>746.99</v>
      </c>
    </row>
    <row r="1385" spans="1:14" x14ac:dyDescent="0.25">
      <c r="A1385" s="1">
        <v>46077</v>
      </c>
      <c r="B1385">
        <v>4</v>
      </c>
      <c r="C1385" t="s">
        <v>541</v>
      </c>
      <c r="D1385" t="s">
        <v>10</v>
      </c>
      <c r="E1385" t="s">
        <v>24</v>
      </c>
      <c r="F1385" t="s">
        <v>25</v>
      </c>
      <c r="G1385" t="s">
        <v>13</v>
      </c>
      <c r="I1385" s="42">
        <v>1351.99</v>
      </c>
      <c r="J1385" s="42"/>
      <c r="K1385" s="42"/>
      <c r="L1385" s="42">
        <v>1500</v>
      </c>
      <c r="N1385" s="42">
        <v>1351.99</v>
      </c>
    </row>
    <row r="1386" spans="1:14" x14ac:dyDescent="0.25">
      <c r="A1386" s="1">
        <v>46077</v>
      </c>
      <c r="B1386">
        <v>4</v>
      </c>
      <c r="C1386" t="s">
        <v>541</v>
      </c>
      <c r="D1386" t="s">
        <v>10</v>
      </c>
      <c r="E1386" t="s">
        <v>164</v>
      </c>
      <c r="F1386" t="s">
        <v>12</v>
      </c>
      <c r="G1386" t="s">
        <v>13</v>
      </c>
      <c r="I1386" s="42">
        <v>746.99</v>
      </c>
      <c r="J1386" s="42"/>
      <c r="K1386" s="42"/>
      <c r="L1386" s="42">
        <v>1241.99</v>
      </c>
      <c r="N1386" s="42">
        <v>746.99</v>
      </c>
    </row>
    <row r="1387" spans="1:14" x14ac:dyDescent="0.25">
      <c r="A1387" s="1">
        <v>46077</v>
      </c>
      <c r="B1387">
        <v>4</v>
      </c>
      <c r="C1387" t="s">
        <v>541</v>
      </c>
      <c r="D1387" t="s">
        <v>10</v>
      </c>
      <c r="E1387" t="s">
        <v>263</v>
      </c>
      <c r="F1387" t="s">
        <v>264</v>
      </c>
      <c r="G1387" t="s">
        <v>66</v>
      </c>
      <c r="I1387" s="42">
        <v>746.99</v>
      </c>
      <c r="J1387" s="42"/>
      <c r="K1387" s="42"/>
      <c r="L1387" s="42">
        <v>1241.99</v>
      </c>
      <c r="N1387" s="42">
        <v>746.99</v>
      </c>
    </row>
    <row r="1388" spans="1:14" x14ac:dyDescent="0.25">
      <c r="A1388" s="1">
        <v>46077</v>
      </c>
      <c r="B1388">
        <v>4</v>
      </c>
      <c r="C1388" t="s">
        <v>541</v>
      </c>
      <c r="D1388" t="s">
        <v>10</v>
      </c>
      <c r="E1388" t="s">
        <v>318</v>
      </c>
      <c r="F1388" t="s">
        <v>12</v>
      </c>
      <c r="G1388" t="s">
        <v>346</v>
      </c>
      <c r="I1388" s="42">
        <v>746.99</v>
      </c>
      <c r="J1388" s="42">
        <v>29.81</v>
      </c>
      <c r="K1388" s="42"/>
      <c r="L1388" s="42">
        <v>776.8</v>
      </c>
      <c r="N1388" s="42">
        <v>776.8</v>
      </c>
    </row>
    <row r="1389" spans="1:14" x14ac:dyDescent="0.25">
      <c r="A1389" s="1">
        <v>46077</v>
      </c>
      <c r="B1389">
        <v>4</v>
      </c>
      <c r="C1389" t="s">
        <v>541</v>
      </c>
      <c r="D1389" t="s">
        <v>10</v>
      </c>
      <c r="E1389" t="s">
        <v>323</v>
      </c>
      <c r="F1389" t="s">
        <v>158</v>
      </c>
      <c r="G1389" t="s">
        <v>346</v>
      </c>
      <c r="I1389" s="42">
        <v>746.99</v>
      </c>
      <c r="J1389" s="42"/>
      <c r="K1389" s="42"/>
      <c r="L1389" s="42">
        <v>746.99</v>
      </c>
      <c r="N1389" s="42">
        <v>746.99</v>
      </c>
    </row>
    <row r="1390" spans="1:14" x14ac:dyDescent="0.25">
      <c r="A1390" s="1">
        <v>46077</v>
      </c>
      <c r="B1390">
        <v>4</v>
      </c>
      <c r="C1390" t="s">
        <v>541</v>
      </c>
      <c r="D1390" t="s">
        <v>10</v>
      </c>
      <c r="E1390" t="s">
        <v>713</v>
      </c>
      <c r="F1390" t="s">
        <v>41</v>
      </c>
      <c r="G1390" t="s">
        <v>714</v>
      </c>
      <c r="I1390" s="42">
        <v>746.99</v>
      </c>
      <c r="J1390" s="42"/>
      <c r="K1390" s="42"/>
      <c r="L1390" s="42">
        <v>1241.99</v>
      </c>
      <c r="N1390" s="42">
        <v>746.99</v>
      </c>
    </row>
    <row r="1391" spans="1:14" x14ac:dyDescent="0.25">
      <c r="A1391" s="1">
        <v>46077</v>
      </c>
      <c r="B1391">
        <v>4</v>
      </c>
      <c r="C1391" t="s">
        <v>542</v>
      </c>
      <c r="D1391" t="s">
        <v>336</v>
      </c>
      <c r="E1391" t="s">
        <v>171</v>
      </c>
      <c r="F1391" t="s">
        <v>52</v>
      </c>
      <c r="G1391" t="s">
        <v>13</v>
      </c>
      <c r="I1391" s="42">
        <v>1251.99</v>
      </c>
      <c r="J1391" s="42"/>
      <c r="K1391" s="42"/>
      <c r="L1391" s="42">
        <v>1251.99</v>
      </c>
      <c r="N1391" s="42"/>
    </row>
    <row r="1392" spans="1:14" x14ac:dyDescent="0.25">
      <c r="A1392" s="1">
        <v>46077</v>
      </c>
      <c r="B1392">
        <v>4</v>
      </c>
      <c r="C1392" t="s">
        <v>542</v>
      </c>
      <c r="D1392" t="s">
        <v>99</v>
      </c>
      <c r="E1392" t="s">
        <v>134</v>
      </c>
      <c r="F1392" t="s">
        <v>69</v>
      </c>
      <c r="G1392" t="s">
        <v>38</v>
      </c>
      <c r="I1392" s="42"/>
      <c r="J1392" s="42"/>
      <c r="K1392" s="42"/>
      <c r="L1392" s="42">
        <v>0</v>
      </c>
      <c r="N1392" s="42"/>
    </row>
    <row r="1393" spans="1:14" x14ac:dyDescent="0.25">
      <c r="A1393" s="1">
        <v>46077</v>
      </c>
      <c r="B1393">
        <v>4</v>
      </c>
      <c r="C1393" t="s">
        <v>542</v>
      </c>
      <c r="D1393" t="s">
        <v>234</v>
      </c>
      <c r="E1393" t="s">
        <v>198</v>
      </c>
      <c r="F1393" t="s">
        <v>199</v>
      </c>
      <c r="G1393" t="s">
        <v>38</v>
      </c>
      <c r="I1393" s="42">
        <v>746.99</v>
      </c>
      <c r="J1393" s="42">
        <v>30</v>
      </c>
      <c r="K1393" s="42"/>
      <c r="L1393" s="42">
        <v>776.99</v>
      </c>
      <c r="N1393" s="42"/>
    </row>
    <row r="1394" spans="1:14" x14ac:dyDescent="0.25">
      <c r="A1394" s="1">
        <v>46077</v>
      </c>
      <c r="B1394">
        <v>4</v>
      </c>
      <c r="C1394" t="s">
        <v>542</v>
      </c>
      <c r="D1394" t="s">
        <v>234</v>
      </c>
      <c r="E1394" t="s">
        <v>283</v>
      </c>
      <c r="F1394" t="s">
        <v>76</v>
      </c>
      <c r="G1394" t="s">
        <v>77</v>
      </c>
      <c r="I1394" s="42">
        <v>1451.99</v>
      </c>
      <c r="J1394" s="42"/>
      <c r="K1394" s="42"/>
      <c r="L1394" s="42">
        <v>1451.99</v>
      </c>
      <c r="N1394" s="42"/>
    </row>
    <row r="1395" spans="1:14" x14ac:dyDescent="0.25">
      <c r="A1395" s="1">
        <v>46077</v>
      </c>
      <c r="B1395">
        <v>4</v>
      </c>
      <c r="C1395" t="s">
        <v>542</v>
      </c>
      <c r="D1395" t="s">
        <v>89</v>
      </c>
      <c r="E1395" t="s">
        <v>344</v>
      </c>
      <c r="F1395" t="s">
        <v>116</v>
      </c>
      <c r="G1395" t="s">
        <v>13</v>
      </c>
      <c r="I1395" s="42">
        <v>746.99</v>
      </c>
      <c r="J1395" s="42"/>
      <c r="K1395" s="42"/>
      <c r="L1395" s="42">
        <v>746.99</v>
      </c>
      <c r="N1395" s="42"/>
    </row>
    <row r="1396" spans="1:14" x14ac:dyDescent="0.25">
      <c r="A1396" s="1">
        <v>46077</v>
      </c>
      <c r="B1396">
        <v>4</v>
      </c>
      <c r="C1396" t="s">
        <v>542</v>
      </c>
      <c r="D1396" t="s">
        <v>336</v>
      </c>
      <c r="E1396" t="s">
        <v>49</v>
      </c>
      <c r="F1396" t="s">
        <v>12</v>
      </c>
      <c r="G1396" t="s">
        <v>13</v>
      </c>
      <c r="I1396" s="42">
        <v>746.99</v>
      </c>
      <c r="J1396" s="42"/>
      <c r="K1396" s="42"/>
      <c r="L1396" s="42">
        <v>746.99</v>
      </c>
      <c r="N1396" s="42"/>
    </row>
    <row r="1397" spans="1:14" x14ac:dyDescent="0.25">
      <c r="A1397" s="1">
        <v>46077</v>
      </c>
      <c r="B1397">
        <v>4</v>
      </c>
      <c r="C1397" t="s">
        <v>542</v>
      </c>
      <c r="D1397" t="s">
        <v>99</v>
      </c>
      <c r="E1397" t="s">
        <v>287</v>
      </c>
      <c r="F1397" t="s">
        <v>52</v>
      </c>
      <c r="G1397" t="s">
        <v>77</v>
      </c>
      <c r="I1397" s="42">
        <v>1251.99</v>
      </c>
      <c r="J1397" s="42"/>
      <c r="K1397" s="42"/>
      <c r="L1397" s="42">
        <v>1251.99</v>
      </c>
      <c r="N1397" s="42"/>
    </row>
    <row r="1398" spans="1:14" x14ac:dyDescent="0.25">
      <c r="A1398" s="1">
        <v>46077</v>
      </c>
      <c r="B1398">
        <v>4</v>
      </c>
      <c r="C1398" t="s">
        <v>542</v>
      </c>
      <c r="D1398" t="s">
        <v>99</v>
      </c>
      <c r="E1398" t="s">
        <v>160</v>
      </c>
      <c r="F1398" t="s">
        <v>158</v>
      </c>
      <c r="G1398" t="s">
        <v>22</v>
      </c>
      <c r="I1398" s="42">
        <v>746.99</v>
      </c>
      <c r="J1398" s="42"/>
      <c r="K1398" s="42"/>
      <c r="L1398" s="42">
        <v>746.99</v>
      </c>
      <c r="N1398" s="42"/>
    </row>
    <row r="1399" spans="1:14" x14ac:dyDescent="0.25">
      <c r="A1399" s="1">
        <v>46077</v>
      </c>
      <c r="B1399">
        <v>4</v>
      </c>
      <c r="C1399" t="s">
        <v>542</v>
      </c>
      <c r="D1399" t="s">
        <v>336</v>
      </c>
      <c r="E1399" t="s">
        <v>315</v>
      </c>
      <c r="F1399" t="s">
        <v>41</v>
      </c>
      <c r="G1399" t="s">
        <v>111</v>
      </c>
      <c r="I1399" s="42">
        <v>746.99</v>
      </c>
      <c r="J1399" s="42"/>
      <c r="K1399" s="42"/>
      <c r="L1399" s="42">
        <v>746.99</v>
      </c>
      <c r="N1399" s="42"/>
    </row>
    <row r="1400" spans="1:14" x14ac:dyDescent="0.25">
      <c r="A1400" s="1">
        <v>46077</v>
      </c>
      <c r="B1400">
        <v>4</v>
      </c>
      <c r="C1400" t="s">
        <v>542</v>
      </c>
      <c r="D1400" t="s">
        <v>336</v>
      </c>
      <c r="E1400" t="s">
        <v>173</v>
      </c>
      <c r="F1400" t="s">
        <v>52</v>
      </c>
      <c r="G1400" t="s">
        <v>77</v>
      </c>
      <c r="I1400" s="42">
        <v>1251.99</v>
      </c>
      <c r="J1400" s="42"/>
      <c r="K1400" s="42"/>
      <c r="L1400" s="42">
        <v>1251.99</v>
      </c>
      <c r="N1400" s="42"/>
    </row>
    <row r="1401" spans="1:14" x14ac:dyDescent="0.25">
      <c r="A1401" s="1">
        <v>46077</v>
      </c>
      <c r="B1401">
        <v>4</v>
      </c>
      <c r="C1401" t="s">
        <v>542</v>
      </c>
      <c r="D1401" t="s">
        <v>136</v>
      </c>
      <c r="E1401" t="s">
        <v>247</v>
      </c>
      <c r="F1401" t="s">
        <v>12</v>
      </c>
      <c r="G1401" t="s">
        <v>104</v>
      </c>
      <c r="I1401" s="42">
        <v>746.99</v>
      </c>
      <c r="J1401" s="42"/>
      <c r="K1401" s="42"/>
      <c r="L1401" s="42">
        <v>746.99</v>
      </c>
      <c r="N1401" s="42"/>
    </row>
    <row r="1402" spans="1:14" x14ac:dyDescent="0.25">
      <c r="A1402" s="1">
        <v>46077</v>
      </c>
      <c r="B1402">
        <v>4</v>
      </c>
      <c r="C1402" t="s">
        <v>541</v>
      </c>
      <c r="D1402" t="s">
        <v>10</v>
      </c>
      <c r="E1402" t="s">
        <v>317</v>
      </c>
      <c r="F1402" t="s">
        <v>101</v>
      </c>
      <c r="G1402" t="s">
        <v>13</v>
      </c>
      <c r="I1402" s="42">
        <v>1351.99</v>
      </c>
      <c r="J1402" s="42"/>
      <c r="K1402" s="42"/>
      <c r="L1402" s="42">
        <v>1351.99</v>
      </c>
      <c r="N1402" s="42">
        <v>1001.99</v>
      </c>
    </row>
    <row r="1403" spans="1:14" x14ac:dyDescent="0.25">
      <c r="A1403" s="1">
        <v>46077</v>
      </c>
      <c r="B1403">
        <v>4</v>
      </c>
      <c r="C1403" t="s">
        <v>542</v>
      </c>
      <c r="D1403" t="s">
        <v>99</v>
      </c>
      <c r="E1403" t="s">
        <v>319</v>
      </c>
      <c r="F1403" t="s">
        <v>158</v>
      </c>
      <c r="G1403" t="s">
        <v>13</v>
      </c>
      <c r="I1403" s="42">
        <v>746.99</v>
      </c>
      <c r="J1403" s="42"/>
      <c r="K1403" s="42"/>
      <c r="L1403" s="42">
        <v>746.99</v>
      </c>
      <c r="N1403" s="42"/>
    </row>
    <row r="1404" spans="1:14" x14ac:dyDescent="0.25">
      <c r="A1404" s="1">
        <v>46077</v>
      </c>
      <c r="B1404">
        <v>4</v>
      </c>
      <c r="C1404" t="s">
        <v>542</v>
      </c>
      <c r="D1404" t="s">
        <v>234</v>
      </c>
      <c r="E1404" t="s">
        <v>324</v>
      </c>
      <c r="F1404" t="s">
        <v>158</v>
      </c>
      <c r="G1404" t="s">
        <v>13</v>
      </c>
      <c r="I1404" s="42">
        <v>746</v>
      </c>
      <c r="J1404" s="42"/>
      <c r="K1404" s="42"/>
      <c r="L1404" s="42">
        <v>746</v>
      </c>
      <c r="N1404" s="42"/>
    </row>
    <row r="1405" spans="1:14" x14ac:dyDescent="0.25">
      <c r="A1405" s="1">
        <v>46077</v>
      </c>
      <c r="B1405">
        <v>4</v>
      </c>
      <c r="C1405" t="s">
        <v>542</v>
      </c>
      <c r="D1405" t="s">
        <v>99</v>
      </c>
      <c r="E1405" t="s">
        <v>325</v>
      </c>
      <c r="F1405" t="s">
        <v>158</v>
      </c>
      <c r="G1405" t="s">
        <v>13</v>
      </c>
      <c r="I1405" s="42">
        <v>746.99</v>
      </c>
      <c r="J1405" s="42"/>
      <c r="K1405" s="42"/>
      <c r="L1405" s="42">
        <v>746.99</v>
      </c>
      <c r="N1405" s="42"/>
    </row>
    <row r="1406" spans="1:14" x14ac:dyDescent="0.25">
      <c r="A1406" s="1">
        <v>46077</v>
      </c>
      <c r="B1406">
        <v>4</v>
      </c>
      <c r="C1406" t="s">
        <v>542</v>
      </c>
      <c r="D1406" t="s">
        <v>99</v>
      </c>
      <c r="E1406" t="s">
        <v>334</v>
      </c>
      <c r="F1406" t="s">
        <v>28</v>
      </c>
      <c r="G1406" t="s">
        <v>13</v>
      </c>
      <c r="I1406" s="42">
        <v>931.99</v>
      </c>
      <c r="J1406" s="42"/>
      <c r="K1406" s="42"/>
      <c r="L1406" s="42">
        <v>931.99</v>
      </c>
      <c r="N1406" s="42"/>
    </row>
    <row r="1407" spans="1:14" x14ac:dyDescent="0.25">
      <c r="A1407" s="1">
        <v>46077</v>
      </c>
      <c r="B1407">
        <v>4</v>
      </c>
      <c r="C1407" t="s">
        <v>542</v>
      </c>
      <c r="D1407" t="s">
        <v>336</v>
      </c>
      <c r="E1407" t="s">
        <v>337</v>
      </c>
      <c r="F1407" t="s">
        <v>41</v>
      </c>
      <c r="G1407" t="s">
        <v>13</v>
      </c>
      <c r="I1407" s="42">
        <v>746.99</v>
      </c>
      <c r="J1407" s="42"/>
      <c r="K1407" s="42"/>
      <c r="L1407" s="42">
        <v>746.99</v>
      </c>
      <c r="N1407" s="42"/>
    </row>
    <row r="1408" spans="1:14" x14ac:dyDescent="0.25">
      <c r="A1408" s="1">
        <v>46077</v>
      </c>
      <c r="B1408">
        <v>4</v>
      </c>
      <c r="C1408" t="s">
        <v>542</v>
      </c>
      <c r="D1408" t="s">
        <v>336</v>
      </c>
      <c r="E1408" t="s">
        <v>338</v>
      </c>
      <c r="F1408" t="s">
        <v>55</v>
      </c>
      <c r="G1408" t="s">
        <v>13</v>
      </c>
      <c r="I1408" s="42">
        <v>746.99</v>
      </c>
      <c r="J1408" s="42"/>
      <c r="K1408" s="42"/>
      <c r="L1408" s="42">
        <v>746.99</v>
      </c>
      <c r="N1408" s="42"/>
    </row>
    <row r="1409" spans="1:14" x14ac:dyDescent="0.25">
      <c r="A1409" s="1">
        <v>46077</v>
      </c>
      <c r="B1409">
        <v>4</v>
      </c>
      <c r="C1409" t="s">
        <v>542</v>
      </c>
      <c r="D1409" t="s">
        <v>99</v>
      </c>
      <c r="E1409" t="s">
        <v>715</v>
      </c>
      <c r="F1409" t="s">
        <v>41</v>
      </c>
      <c r="G1409" t="s">
        <v>714</v>
      </c>
      <c r="I1409" s="42"/>
      <c r="J1409" s="42"/>
      <c r="K1409" s="42"/>
      <c r="L1409" s="42"/>
      <c r="M1409" s="37">
        <v>550</v>
      </c>
      <c r="N1409" s="42"/>
    </row>
    <row r="1410" spans="1:14" x14ac:dyDescent="0.25">
      <c r="A1410" s="1">
        <v>46077</v>
      </c>
      <c r="B1410">
        <v>4</v>
      </c>
      <c r="C1410" t="s">
        <v>542</v>
      </c>
      <c r="D1410" t="s">
        <v>136</v>
      </c>
      <c r="E1410" t="s">
        <v>205</v>
      </c>
      <c r="F1410" t="s">
        <v>33</v>
      </c>
      <c r="G1410" t="s">
        <v>13</v>
      </c>
      <c r="I1410" s="42">
        <v>851.99</v>
      </c>
      <c r="J1410" s="42"/>
      <c r="K1410" s="42"/>
      <c r="L1410" s="42">
        <v>851.99</v>
      </c>
      <c r="N1410" s="42"/>
    </row>
    <row r="1411" spans="1:14" x14ac:dyDescent="0.25">
      <c r="A1411" s="1">
        <v>46077</v>
      </c>
      <c r="B1411">
        <v>4</v>
      </c>
      <c r="C1411" t="s">
        <v>541</v>
      </c>
      <c r="D1411" t="s">
        <v>10</v>
      </c>
      <c r="E1411" t="s">
        <v>345</v>
      </c>
      <c r="F1411" t="s">
        <v>12</v>
      </c>
      <c r="G1411" t="s">
        <v>346</v>
      </c>
      <c r="I1411" s="42">
        <v>746.99</v>
      </c>
      <c r="J1411" s="42"/>
      <c r="K1411" s="42"/>
      <c r="L1411" s="42">
        <v>746.99</v>
      </c>
      <c r="N1411" s="42">
        <v>746.99</v>
      </c>
    </row>
    <row r="1412" spans="1:14" x14ac:dyDescent="0.25">
      <c r="A1412" s="1">
        <v>46077</v>
      </c>
      <c r="B1412">
        <v>4</v>
      </c>
      <c r="C1412" t="s">
        <v>542</v>
      </c>
      <c r="D1412" t="s">
        <v>89</v>
      </c>
      <c r="E1412" t="s">
        <v>347</v>
      </c>
      <c r="F1412" t="s">
        <v>348</v>
      </c>
      <c r="G1412" t="s">
        <v>349</v>
      </c>
      <c r="I1412" s="42">
        <v>801.99</v>
      </c>
      <c r="J1412" s="42"/>
      <c r="K1412" s="42"/>
      <c r="L1412" s="42">
        <v>801.99</v>
      </c>
      <c r="N1412" s="42"/>
    </row>
    <row r="1413" spans="1:14" x14ac:dyDescent="0.25">
      <c r="A1413" s="1">
        <v>46077</v>
      </c>
      <c r="B1413">
        <v>4</v>
      </c>
      <c r="C1413" t="s">
        <v>542</v>
      </c>
      <c r="D1413" t="s">
        <v>99</v>
      </c>
      <c r="E1413" t="s">
        <v>350</v>
      </c>
      <c r="F1413" t="s">
        <v>12</v>
      </c>
      <c r="G1413" t="s">
        <v>349</v>
      </c>
      <c r="I1413" s="42">
        <v>801.99</v>
      </c>
      <c r="J1413" s="42"/>
      <c r="K1413" s="42"/>
      <c r="L1413" s="42">
        <v>801.99</v>
      </c>
      <c r="N1413" s="42"/>
    </row>
    <row r="1414" spans="1:14" x14ac:dyDescent="0.25">
      <c r="A1414" s="1">
        <v>46077</v>
      </c>
      <c r="B1414">
        <v>4</v>
      </c>
      <c r="C1414" t="s">
        <v>541</v>
      </c>
      <c r="D1414" t="s">
        <v>10</v>
      </c>
      <c r="E1414" t="s">
        <v>351</v>
      </c>
      <c r="F1414" t="s">
        <v>116</v>
      </c>
      <c r="G1414" t="s">
        <v>346</v>
      </c>
      <c r="I1414" s="42">
        <v>746.99</v>
      </c>
      <c r="J1414" s="42">
        <v>60</v>
      </c>
      <c r="K1414" s="42"/>
      <c r="L1414" s="42">
        <v>806.99</v>
      </c>
      <c r="N1414" s="42">
        <v>806.99</v>
      </c>
    </row>
    <row r="1415" spans="1:14" x14ac:dyDescent="0.25">
      <c r="A1415" s="1">
        <v>46077</v>
      </c>
      <c r="B1415">
        <v>4</v>
      </c>
      <c r="C1415" t="s">
        <v>541</v>
      </c>
      <c r="D1415" t="s">
        <v>10</v>
      </c>
      <c r="E1415" t="s">
        <v>352</v>
      </c>
      <c r="F1415" t="s">
        <v>158</v>
      </c>
      <c r="G1415" t="s">
        <v>353</v>
      </c>
      <c r="I1415" s="42">
        <v>746.99</v>
      </c>
      <c r="J1415" s="42"/>
      <c r="K1415" s="42"/>
      <c r="L1415" s="42">
        <v>746.99</v>
      </c>
      <c r="N1415" s="42">
        <v>746.99</v>
      </c>
    </row>
    <row r="1416" spans="1:14" x14ac:dyDescent="0.25">
      <c r="A1416" s="1">
        <v>46077</v>
      </c>
      <c r="B1416">
        <v>4</v>
      </c>
      <c r="C1416" t="s">
        <v>541</v>
      </c>
      <c r="D1416" t="s">
        <v>10</v>
      </c>
      <c r="E1416" t="s">
        <v>354</v>
      </c>
      <c r="F1416" t="s">
        <v>230</v>
      </c>
      <c r="G1416" t="s">
        <v>346</v>
      </c>
      <c r="I1416" s="42">
        <v>746.99</v>
      </c>
      <c r="J1416" s="42">
        <v>30.01</v>
      </c>
      <c r="K1416" s="42"/>
      <c r="L1416" s="42">
        <v>777</v>
      </c>
      <c r="N1416" s="42">
        <v>777</v>
      </c>
    </row>
    <row r="1417" spans="1:14" x14ac:dyDescent="0.25">
      <c r="A1417" s="1">
        <v>46077</v>
      </c>
      <c r="B1417">
        <v>4</v>
      </c>
      <c r="C1417" t="s">
        <v>541</v>
      </c>
      <c r="D1417" t="s">
        <v>10</v>
      </c>
      <c r="E1417" t="s">
        <v>355</v>
      </c>
      <c r="F1417" t="s">
        <v>158</v>
      </c>
      <c r="G1417" t="s">
        <v>346</v>
      </c>
      <c r="I1417" s="42">
        <v>746.99</v>
      </c>
      <c r="J1417" s="42">
        <v>30</v>
      </c>
      <c r="K1417" s="42"/>
      <c r="L1417" s="42">
        <v>776.99</v>
      </c>
      <c r="N1417" s="42">
        <v>776.99</v>
      </c>
    </row>
    <row r="1418" spans="1:14" x14ac:dyDescent="0.25">
      <c r="A1418" s="1">
        <v>46077</v>
      </c>
      <c r="B1418">
        <v>4</v>
      </c>
      <c r="C1418" t="s">
        <v>541</v>
      </c>
      <c r="D1418" t="s">
        <v>10</v>
      </c>
      <c r="E1418" t="s">
        <v>356</v>
      </c>
      <c r="F1418" t="s">
        <v>158</v>
      </c>
      <c r="G1418" t="s">
        <v>346</v>
      </c>
      <c r="I1418" s="42">
        <v>746.99</v>
      </c>
      <c r="J1418" s="42">
        <v>30</v>
      </c>
      <c r="K1418" s="42"/>
      <c r="L1418" s="42">
        <v>776.99</v>
      </c>
      <c r="N1418" s="42">
        <v>776.99</v>
      </c>
    </row>
    <row r="1419" spans="1:14" x14ac:dyDescent="0.25">
      <c r="A1419" s="1">
        <v>46077</v>
      </c>
      <c r="B1419">
        <v>4</v>
      </c>
      <c r="C1419" t="s">
        <v>541</v>
      </c>
      <c r="D1419" t="s">
        <v>10</v>
      </c>
      <c r="E1419" t="s">
        <v>374</v>
      </c>
      <c r="F1419" t="s">
        <v>158</v>
      </c>
      <c r="G1419" t="s">
        <v>346</v>
      </c>
      <c r="I1419" s="42">
        <v>746.99</v>
      </c>
      <c r="J1419" s="42">
        <v>60.01</v>
      </c>
      <c r="K1419" s="42"/>
      <c r="L1419" s="42">
        <v>807</v>
      </c>
      <c r="N1419" s="42">
        <v>807</v>
      </c>
    </row>
    <row r="1420" spans="1:14" x14ac:dyDescent="0.25">
      <c r="A1420" s="1">
        <v>46077</v>
      </c>
      <c r="B1420">
        <v>4</v>
      </c>
      <c r="C1420" t="s">
        <v>542</v>
      </c>
      <c r="D1420" t="s">
        <v>99</v>
      </c>
      <c r="E1420" t="s">
        <v>357</v>
      </c>
      <c r="F1420" t="s">
        <v>55</v>
      </c>
      <c r="G1420" t="s">
        <v>346</v>
      </c>
      <c r="I1420" s="42">
        <v>746.99</v>
      </c>
      <c r="J1420" s="42"/>
      <c r="K1420" s="42"/>
      <c r="L1420" s="42">
        <v>746.99</v>
      </c>
      <c r="N1420" s="42"/>
    </row>
    <row r="1421" spans="1:14" x14ac:dyDescent="0.25">
      <c r="A1421" s="1">
        <v>46077</v>
      </c>
      <c r="B1421">
        <v>4</v>
      </c>
      <c r="C1421" t="s">
        <v>541</v>
      </c>
      <c r="D1421" t="s">
        <v>10</v>
      </c>
      <c r="E1421" t="s">
        <v>358</v>
      </c>
      <c r="F1421" t="s">
        <v>52</v>
      </c>
      <c r="G1421" t="s">
        <v>359</v>
      </c>
      <c r="I1421" s="42">
        <v>1251.99</v>
      </c>
      <c r="J1421" s="42"/>
      <c r="K1421" s="42">
        <v>356.99</v>
      </c>
      <c r="L1421" s="42">
        <v>895</v>
      </c>
      <c r="N1421" s="42">
        <v>895</v>
      </c>
    </row>
    <row r="1422" spans="1:14" x14ac:dyDescent="0.25">
      <c r="A1422" s="1">
        <v>46077</v>
      </c>
      <c r="B1422">
        <v>4</v>
      </c>
      <c r="C1422" t="s">
        <v>541</v>
      </c>
      <c r="D1422" t="s">
        <v>10</v>
      </c>
      <c r="E1422" t="s">
        <v>360</v>
      </c>
      <c r="F1422" t="s">
        <v>211</v>
      </c>
      <c r="G1422" t="s">
        <v>346</v>
      </c>
      <c r="I1422" s="42">
        <v>746.99</v>
      </c>
      <c r="J1422" s="42"/>
      <c r="K1422" s="42">
        <v>1.49</v>
      </c>
      <c r="L1422" s="42">
        <v>745.5</v>
      </c>
      <c r="N1422" s="42">
        <v>745.5</v>
      </c>
    </row>
    <row r="1423" spans="1:14" x14ac:dyDescent="0.25">
      <c r="A1423" s="1">
        <v>46077</v>
      </c>
      <c r="B1423">
        <v>4</v>
      </c>
      <c r="C1423" t="s">
        <v>541</v>
      </c>
      <c r="D1423" t="s">
        <v>10</v>
      </c>
      <c r="E1423" t="s">
        <v>361</v>
      </c>
      <c r="F1423" t="s">
        <v>52</v>
      </c>
      <c r="G1423" t="s">
        <v>346</v>
      </c>
      <c r="I1423" s="42">
        <v>1251.99</v>
      </c>
      <c r="J1423" s="42">
        <v>30.01</v>
      </c>
      <c r="K1423" s="42"/>
      <c r="L1423" s="42">
        <v>1282</v>
      </c>
      <c r="N1423" s="42">
        <v>1282</v>
      </c>
    </row>
    <row r="1424" spans="1:14" x14ac:dyDescent="0.25">
      <c r="A1424" s="1">
        <v>46077</v>
      </c>
      <c r="B1424">
        <v>4</v>
      </c>
      <c r="C1424" t="s">
        <v>541</v>
      </c>
      <c r="D1424" t="s">
        <v>10</v>
      </c>
      <c r="E1424" t="s">
        <v>364</v>
      </c>
      <c r="F1424" t="s">
        <v>365</v>
      </c>
      <c r="G1424" t="s">
        <v>346</v>
      </c>
      <c r="I1424" s="42">
        <v>801.99</v>
      </c>
      <c r="J1424" s="42"/>
      <c r="K1424" s="42">
        <v>1.99</v>
      </c>
      <c r="L1424" s="42">
        <v>800</v>
      </c>
      <c r="N1424" s="42">
        <v>800</v>
      </c>
    </row>
    <row r="1425" spans="1:14" x14ac:dyDescent="0.25">
      <c r="A1425" s="1">
        <v>46077</v>
      </c>
      <c r="B1425">
        <v>4</v>
      </c>
      <c r="C1425" t="s">
        <v>541</v>
      </c>
      <c r="D1425" t="s">
        <v>10</v>
      </c>
      <c r="E1425" t="s">
        <v>366</v>
      </c>
      <c r="F1425" t="s">
        <v>52</v>
      </c>
      <c r="G1425" t="s">
        <v>346</v>
      </c>
      <c r="I1425" s="42">
        <v>1251.99</v>
      </c>
      <c r="J1425" s="42">
        <v>30</v>
      </c>
      <c r="K1425" s="42"/>
      <c r="L1425" s="42">
        <v>1281.99</v>
      </c>
      <c r="N1425" s="42">
        <v>1281.98</v>
      </c>
    </row>
    <row r="1426" spans="1:14" x14ac:dyDescent="0.25">
      <c r="A1426" s="1">
        <v>46077</v>
      </c>
      <c r="B1426">
        <v>4</v>
      </c>
      <c r="C1426" t="s">
        <v>541</v>
      </c>
      <c r="D1426" t="s">
        <v>10</v>
      </c>
      <c r="E1426" t="s">
        <v>375</v>
      </c>
      <c r="F1426" t="s">
        <v>52</v>
      </c>
      <c r="G1426" t="s">
        <v>346</v>
      </c>
      <c r="I1426" s="42">
        <v>1251.99</v>
      </c>
      <c r="J1426" s="42">
        <v>60</v>
      </c>
      <c r="K1426" s="42"/>
      <c r="L1426" s="42">
        <v>1311.99</v>
      </c>
      <c r="N1426" s="42">
        <v>599</v>
      </c>
    </row>
    <row r="1427" spans="1:14" x14ac:dyDescent="0.25">
      <c r="A1427" s="1">
        <v>46077</v>
      </c>
      <c r="B1427">
        <v>4</v>
      </c>
      <c r="C1427" t="s">
        <v>541</v>
      </c>
      <c r="D1427" t="s">
        <v>10</v>
      </c>
      <c r="E1427" t="s">
        <v>376</v>
      </c>
      <c r="F1427" t="s">
        <v>52</v>
      </c>
      <c r="G1427" t="s">
        <v>346</v>
      </c>
      <c r="I1427" s="42">
        <v>1251.99</v>
      </c>
      <c r="J1427" s="42"/>
      <c r="K1427" s="42">
        <v>1.99</v>
      </c>
      <c r="L1427" s="42">
        <v>1250</v>
      </c>
      <c r="N1427" s="42">
        <v>1250</v>
      </c>
    </row>
    <row r="1428" spans="1:14" x14ac:dyDescent="0.25">
      <c r="A1428" s="1">
        <v>46077</v>
      </c>
      <c r="B1428">
        <v>4</v>
      </c>
      <c r="C1428" t="s">
        <v>541</v>
      </c>
      <c r="D1428" t="s">
        <v>10</v>
      </c>
      <c r="E1428" t="s">
        <v>372</v>
      </c>
      <c r="F1428" t="s">
        <v>55</v>
      </c>
      <c r="G1428" t="s">
        <v>373</v>
      </c>
      <c r="I1428" s="42">
        <v>746.99</v>
      </c>
      <c r="J1428" s="42">
        <v>30</v>
      </c>
      <c r="K1428" s="42"/>
      <c r="L1428" s="42">
        <v>776.99</v>
      </c>
      <c r="N1428" s="42">
        <v>776.99</v>
      </c>
    </row>
    <row r="1429" spans="1:14" x14ac:dyDescent="0.25">
      <c r="A1429" s="1">
        <v>46077</v>
      </c>
      <c r="B1429">
        <v>4</v>
      </c>
      <c r="C1429" t="s">
        <v>541</v>
      </c>
      <c r="D1429" t="s">
        <v>10</v>
      </c>
      <c r="E1429" t="s">
        <v>410</v>
      </c>
      <c r="F1429" t="s">
        <v>411</v>
      </c>
      <c r="G1429" t="s">
        <v>346</v>
      </c>
      <c r="I1429" s="42">
        <v>1251.99</v>
      </c>
      <c r="J1429" s="42">
        <v>30</v>
      </c>
      <c r="K1429" s="42"/>
      <c r="L1429" s="42">
        <v>1281.99</v>
      </c>
      <c r="N1429" s="42">
        <v>1281.99</v>
      </c>
    </row>
    <row r="1430" spans="1:14" x14ac:dyDescent="0.25">
      <c r="A1430" s="1">
        <v>46077</v>
      </c>
      <c r="B1430">
        <v>4</v>
      </c>
      <c r="C1430" t="s">
        <v>541</v>
      </c>
      <c r="D1430" t="s">
        <v>10</v>
      </c>
      <c r="E1430" t="s">
        <v>505</v>
      </c>
      <c r="F1430" t="s">
        <v>158</v>
      </c>
      <c r="G1430" t="s">
        <v>346</v>
      </c>
      <c r="I1430" s="42">
        <v>746.99</v>
      </c>
      <c r="J1430" s="42"/>
      <c r="K1430" s="42"/>
      <c r="L1430" s="42">
        <v>746.99</v>
      </c>
      <c r="N1430" s="42">
        <v>746.99</v>
      </c>
    </row>
    <row r="1431" spans="1:14" x14ac:dyDescent="0.25">
      <c r="A1431" s="1">
        <v>46077</v>
      </c>
      <c r="B1431">
        <v>4</v>
      </c>
      <c r="C1431" t="s">
        <v>541</v>
      </c>
      <c r="D1431" t="s">
        <v>10</v>
      </c>
      <c r="E1431" t="s">
        <v>704</v>
      </c>
      <c r="F1431" t="s">
        <v>69</v>
      </c>
      <c r="G1431" t="s">
        <v>705</v>
      </c>
      <c r="I1431" s="42">
        <v>746.99</v>
      </c>
      <c r="J1431" s="42">
        <v>33.01</v>
      </c>
      <c r="K1431" s="42"/>
      <c r="L1431" s="42">
        <v>780</v>
      </c>
      <c r="N1431" s="42">
        <v>780</v>
      </c>
    </row>
    <row r="1432" spans="1:14" x14ac:dyDescent="0.25">
      <c r="A1432" s="1">
        <v>46077</v>
      </c>
      <c r="B1432">
        <v>4</v>
      </c>
      <c r="C1432" t="s">
        <v>541</v>
      </c>
      <c r="D1432" t="s">
        <v>10</v>
      </c>
      <c r="E1432" t="s">
        <v>708</v>
      </c>
      <c r="F1432" t="s">
        <v>709</v>
      </c>
      <c r="G1432" t="s">
        <v>370</v>
      </c>
      <c r="I1432" s="42">
        <v>981.99</v>
      </c>
      <c r="J1432" s="42"/>
      <c r="K1432" s="42"/>
      <c r="L1432" s="42">
        <v>981.99</v>
      </c>
      <c r="N1432" s="42">
        <v>981.99</v>
      </c>
    </row>
    <row r="1433" spans="1:14" x14ac:dyDescent="0.25">
      <c r="A1433" s="1">
        <v>46077</v>
      </c>
      <c r="B1433">
        <v>4</v>
      </c>
      <c r="C1433" t="s">
        <v>542</v>
      </c>
      <c r="D1433" t="s">
        <v>99</v>
      </c>
      <c r="E1433" t="s">
        <v>412</v>
      </c>
      <c r="F1433" t="s">
        <v>403</v>
      </c>
      <c r="G1433" t="s">
        <v>346</v>
      </c>
      <c r="I1433" s="42">
        <v>1001.99</v>
      </c>
      <c r="J1433" s="42"/>
      <c r="K1433" s="42"/>
      <c r="L1433" s="42">
        <v>1001.99</v>
      </c>
      <c r="N1433" s="42"/>
    </row>
    <row r="1434" spans="1:14" x14ac:dyDescent="0.25">
      <c r="A1434" s="1">
        <v>46077</v>
      </c>
      <c r="B1434">
        <v>4</v>
      </c>
      <c r="C1434" t="s">
        <v>541</v>
      </c>
      <c r="D1434" t="s">
        <v>10</v>
      </c>
      <c r="E1434" t="s">
        <v>468</v>
      </c>
      <c r="F1434" t="s">
        <v>469</v>
      </c>
      <c r="G1434" t="s">
        <v>346</v>
      </c>
      <c r="I1434" s="42">
        <v>1001.99</v>
      </c>
      <c r="J1434" s="42"/>
      <c r="K1434" s="42">
        <v>1.99</v>
      </c>
      <c r="L1434" s="42">
        <v>1000</v>
      </c>
      <c r="N1434" s="42">
        <v>1000</v>
      </c>
    </row>
    <row r="1435" spans="1:14" x14ac:dyDescent="0.25">
      <c r="A1435" s="1">
        <v>46077</v>
      </c>
      <c r="B1435">
        <v>4</v>
      </c>
      <c r="C1435" t="s">
        <v>541</v>
      </c>
      <c r="D1435" t="s">
        <v>10</v>
      </c>
      <c r="E1435" t="s">
        <v>466</v>
      </c>
      <c r="F1435" t="s">
        <v>33</v>
      </c>
      <c r="G1435" t="s">
        <v>467</v>
      </c>
      <c r="I1435" s="42">
        <v>851.99</v>
      </c>
      <c r="J1435" s="42"/>
      <c r="K1435" s="42">
        <v>101.99</v>
      </c>
      <c r="L1435" s="42">
        <v>750</v>
      </c>
      <c r="N1435" s="42">
        <v>750</v>
      </c>
    </row>
    <row r="1436" spans="1:14" x14ac:dyDescent="0.25">
      <c r="A1436" s="1">
        <v>46077</v>
      </c>
      <c r="B1436">
        <v>4</v>
      </c>
      <c r="C1436" t="s">
        <v>541</v>
      </c>
      <c r="D1436" t="s">
        <v>10</v>
      </c>
      <c r="E1436" t="s">
        <v>436</v>
      </c>
      <c r="F1436" t="s">
        <v>116</v>
      </c>
      <c r="G1436" t="s">
        <v>346</v>
      </c>
      <c r="I1436" s="42">
        <v>746.99</v>
      </c>
      <c r="J1436" s="42"/>
      <c r="K1436" s="42"/>
      <c r="L1436" s="42">
        <v>746.99</v>
      </c>
      <c r="N1436" s="42">
        <v>746.99</v>
      </c>
    </row>
    <row r="1437" spans="1:14" x14ac:dyDescent="0.25">
      <c r="A1437" s="1">
        <v>46077</v>
      </c>
      <c r="B1437">
        <v>4</v>
      </c>
      <c r="C1437" t="s">
        <v>541</v>
      </c>
      <c r="D1437" t="s">
        <v>10</v>
      </c>
      <c r="E1437" t="s">
        <v>377</v>
      </c>
      <c r="F1437" t="s">
        <v>69</v>
      </c>
      <c r="G1437" t="s">
        <v>378</v>
      </c>
      <c r="I1437" s="42">
        <v>746.99</v>
      </c>
      <c r="J1437" s="42">
        <v>3.01</v>
      </c>
      <c r="K1437" s="42"/>
      <c r="L1437" s="42">
        <v>750</v>
      </c>
      <c r="M1437" s="37">
        <v>692.44</v>
      </c>
      <c r="N1437" s="42">
        <v>750</v>
      </c>
    </row>
    <row r="1438" spans="1:14" x14ac:dyDescent="0.25">
      <c r="A1438" s="1">
        <v>46077</v>
      </c>
      <c r="B1438">
        <v>4</v>
      </c>
      <c r="C1438" t="s">
        <v>541</v>
      </c>
      <c r="D1438" t="s">
        <v>10</v>
      </c>
      <c r="E1438" t="s">
        <v>379</v>
      </c>
      <c r="F1438" t="s">
        <v>41</v>
      </c>
      <c r="G1438" t="s">
        <v>380</v>
      </c>
      <c r="I1438" s="42">
        <v>746.99</v>
      </c>
      <c r="J1438" s="42">
        <v>30.01</v>
      </c>
      <c r="K1438" s="42"/>
      <c r="L1438" s="42">
        <v>777</v>
      </c>
      <c r="N1438" s="42">
        <v>777</v>
      </c>
    </row>
    <row r="1439" spans="1:14" x14ac:dyDescent="0.25">
      <c r="A1439" s="1">
        <v>46077</v>
      </c>
      <c r="B1439">
        <v>4</v>
      </c>
      <c r="C1439" t="s">
        <v>541</v>
      </c>
      <c r="D1439" t="s">
        <v>10</v>
      </c>
      <c r="E1439" t="s">
        <v>381</v>
      </c>
      <c r="F1439" t="s">
        <v>41</v>
      </c>
      <c r="G1439" t="s">
        <v>380</v>
      </c>
      <c r="I1439" s="42">
        <v>746.99</v>
      </c>
      <c r="J1439" s="42">
        <v>60</v>
      </c>
      <c r="K1439" s="42"/>
      <c r="L1439" s="42">
        <v>806.99</v>
      </c>
      <c r="N1439" s="42">
        <v>806.99</v>
      </c>
    </row>
    <row r="1440" spans="1:14" x14ac:dyDescent="0.25">
      <c r="A1440" s="1">
        <v>46077</v>
      </c>
      <c r="B1440">
        <v>4</v>
      </c>
      <c r="C1440" t="s">
        <v>541</v>
      </c>
      <c r="D1440" t="s">
        <v>10</v>
      </c>
      <c r="E1440" t="s">
        <v>386</v>
      </c>
      <c r="F1440" t="s">
        <v>387</v>
      </c>
      <c r="G1440" t="s">
        <v>349</v>
      </c>
      <c r="I1440" s="42">
        <v>801.99</v>
      </c>
      <c r="J1440" s="42">
        <v>30</v>
      </c>
      <c r="K1440" s="42"/>
      <c r="L1440" s="42">
        <v>831.99</v>
      </c>
      <c r="N1440" s="42">
        <v>831.99</v>
      </c>
    </row>
    <row r="1441" spans="1:14" x14ac:dyDescent="0.25">
      <c r="A1441" s="1">
        <v>46077</v>
      </c>
      <c r="B1441">
        <v>4</v>
      </c>
      <c r="C1441" t="s">
        <v>541</v>
      </c>
      <c r="D1441" t="s">
        <v>10</v>
      </c>
      <c r="E1441" t="s">
        <v>388</v>
      </c>
      <c r="F1441" t="s">
        <v>41</v>
      </c>
      <c r="G1441" t="s">
        <v>346</v>
      </c>
      <c r="I1441" s="42">
        <v>746.99</v>
      </c>
      <c r="J1441" s="42">
        <v>3.01</v>
      </c>
      <c r="K1441" s="42"/>
      <c r="L1441" s="42">
        <v>750</v>
      </c>
      <c r="N1441" s="42">
        <v>750</v>
      </c>
    </row>
    <row r="1442" spans="1:14" x14ac:dyDescent="0.25">
      <c r="A1442" s="1">
        <v>46077</v>
      </c>
      <c r="B1442">
        <v>4</v>
      </c>
      <c r="C1442" t="s">
        <v>541</v>
      </c>
      <c r="D1442" t="s">
        <v>10</v>
      </c>
      <c r="E1442" t="s">
        <v>389</v>
      </c>
      <c r="F1442" t="s">
        <v>12</v>
      </c>
      <c r="G1442" t="s">
        <v>346</v>
      </c>
      <c r="I1442" s="42">
        <v>746.99</v>
      </c>
      <c r="J1442" s="42"/>
      <c r="K1442" s="42"/>
      <c r="L1442" s="42">
        <v>746.99</v>
      </c>
      <c r="N1442" s="42">
        <v>746.99</v>
      </c>
    </row>
    <row r="1443" spans="1:14" x14ac:dyDescent="0.25">
      <c r="A1443" s="1">
        <v>46077</v>
      </c>
      <c r="B1443">
        <v>4</v>
      </c>
      <c r="C1443" t="s">
        <v>541</v>
      </c>
      <c r="D1443" t="s">
        <v>10</v>
      </c>
      <c r="E1443" t="s">
        <v>524</v>
      </c>
      <c r="F1443" t="s">
        <v>41</v>
      </c>
      <c r="G1443" t="s">
        <v>420</v>
      </c>
      <c r="I1443" s="42">
        <v>746.99</v>
      </c>
      <c r="J1443" s="42"/>
      <c r="K1443" s="42">
        <v>1.99</v>
      </c>
      <c r="L1443" s="42">
        <v>745</v>
      </c>
      <c r="N1443" s="42">
        <v>745</v>
      </c>
    </row>
    <row r="1444" spans="1:14" x14ac:dyDescent="0.25">
      <c r="A1444" s="1">
        <v>46077</v>
      </c>
      <c r="B1444">
        <v>4</v>
      </c>
      <c r="C1444" t="s">
        <v>541</v>
      </c>
      <c r="D1444" t="s">
        <v>10</v>
      </c>
      <c r="E1444" t="s">
        <v>391</v>
      </c>
      <c r="F1444" t="s">
        <v>116</v>
      </c>
      <c r="G1444" t="s">
        <v>346</v>
      </c>
      <c r="I1444" s="42">
        <v>746.99</v>
      </c>
      <c r="J1444" s="42"/>
      <c r="K1444" s="42">
        <v>1.99</v>
      </c>
      <c r="L1444" s="42">
        <v>745</v>
      </c>
      <c r="N1444" s="42">
        <v>745</v>
      </c>
    </row>
    <row r="1445" spans="1:14" x14ac:dyDescent="0.25">
      <c r="A1445" s="1">
        <v>46077</v>
      </c>
      <c r="B1445">
        <v>4</v>
      </c>
      <c r="C1445" t="s">
        <v>541</v>
      </c>
      <c r="D1445" t="s">
        <v>10</v>
      </c>
      <c r="E1445" t="s">
        <v>392</v>
      </c>
      <c r="F1445" t="s">
        <v>393</v>
      </c>
      <c r="G1445" t="s">
        <v>349</v>
      </c>
      <c r="I1445" s="42">
        <v>896.99</v>
      </c>
      <c r="J1445" s="42">
        <v>30</v>
      </c>
      <c r="K1445" s="42"/>
      <c r="L1445" s="42">
        <v>926.99</v>
      </c>
      <c r="N1445" s="42">
        <v>926.99</v>
      </c>
    </row>
    <row r="1446" spans="1:14" x14ac:dyDescent="0.25">
      <c r="A1446" s="1">
        <v>46077</v>
      </c>
      <c r="B1446">
        <v>4</v>
      </c>
      <c r="C1446" t="s">
        <v>541</v>
      </c>
      <c r="D1446" t="s">
        <v>10</v>
      </c>
      <c r="E1446" t="s">
        <v>396</v>
      </c>
      <c r="F1446" t="s">
        <v>55</v>
      </c>
      <c r="G1446" t="s">
        <v>346</v>
      </c>
      <c r="I1446" s="42">
        <v>746.99</v>
      </c>
      <c r="J1446" s="42"/>
      <c r="K1446" s="42"/>
      <c r="L1446" s="42">
        <v>746.99</v>
      </c>
      <c r="N1446" s="42">
        <v>746.99</v>
      </c>
    </row>
    <row r="1447" spans="1:14" x14ac:dyDescent="0.25">
      <c r="A1447" s="1">
        <v>46077</v>
      </c>
      <c r="B1447">
        <v>4</v>
      </c>
      <c r="C1447" t="s">
        <v>541</v>
      </c>
      <c r="D1447" t="s">
        <v>10</v>
      </c>
      <c r="E1447" t="s">
        <v>397</v>
      </c>
      <c r="F1447" t="s">
        <v>41</v>
      </c>
      <c r="G1447" t="s">
        <v>398</v>
      </c>
      <c r="I1447" s="42">
        <v>746.99</v>
      </c>
      <c r="J1447" s="42">
        <v>60</v>
      </c>
      <c r="K1447" s="42"/>
      <c r="L1447" s="42">
        <v>806.99</v>
      </c>
      <c r="N1447" s="42">
        <v>806.99</v>
      </c>
    </row>
    <row r="1448" spans="1:14" x14ac:dyDescent="0.25">
      <c r="A1448" s="1">
        <v>46077</v>
      </c>
      <c r="B1448">
        <v>4</v>
      </c>
      <c r="C1448" t="s">
        <v>541</v>
      </c>
      <c r="D1448" t="s">
        <v>10</v>
      </c>
      <c r="E1448" t="s">
        <v>400</v>
      </c>
      <c r="F1448" t="s">
        <v>158</v>
      </c>
      <c r="G1448" t="s">
        <v>346</v>
      </c>
      <c r="I1448" s="42">
        <v>746.99</v>
      </c>
      <c r="J1448" s="42"/>
      <c r="K1448" s="42">
        <v>533.55999999999995</v>
      </c>
      <c r="L1448" s="42">
        <v>213.43</v>
      </c>
      <c r="N1448" s="42">
        <v>213.43</v>
      </c>
    </row>
    <row r="1449" spans="1:14" x14ac:dyDescent="0.25">
      <c r="A1449" s="1">
        <v>46077</v>
      </c>
      <c r="B1449">
        <v>4</v>
      </c>
      <c r="C1449" t="s">
        <v>541</v>
      </c>
      <c r="D1449" t="s">
        <v>10</v>
      </c>
      <c r="E1449" t="s">
        <v>401</v>
      </c>
      <c r="F1449" t="s">
        <v>55</v>
      </c>
      <c r="G1449" t="s">
        <v>346</v>
      </c>
      <c r="I1449" s="42">
        <v>746.99</v>
      </c>
      <c r="J1449" s="42">
        <v>30</v>
      </c>
      <c r="K1449" s="42"/>
      <c r="L1449" s="42">
        <v>776.99</v>
      </c>
      <c r="N1449" s="42">
        <v>776.99</v>
      </c>
    </row>
    <row r="1450" spans="1:14" x14ac:dyDescent="0.25">
      <c r="A1450" s="1">
        <v>46077</v>
      </c>
      <c r="B1450">
        <v>4</v>
      </c>
      <c r="C1450" t="s">
        <v>541</v>
      </c>
      <c r="D1450" t="s">
        <v>10</v>
      </c>
      <c r="E1450" t="s">
        <v>402</v>
      </c>
      <c r="F1450" t="s">
        <v>403</v>
      </c>
      <c r="G1450" t="s">
        <v>346</v>
      </c>
      <c r="I1450" s="42">
        <v>1001.99</v>
      </c>
      <c r="J1450" s="42"/>
      <c r="K1450" s="42">
        <v>144.84</v>
      </c>
      <c r="L1450" s="42">
        <v>857.15</v>
      </c>
      <c r="N1450" s="42">
        <v>857.15</v>
      </c>
    </row>
    <row r="1451" spans="1:14" x14ac:dyDescent="0.25">
      <c r="A1451" s="1">
        <v>46077</v>
      </c>
      <c r="B1451">
        <v>4</v>
      </c>
      <c r="C1451" t="s">
        <v>541</v>
      </c>
      <c r="D1451" t="s">
        <v>10</v>
      </c>
      <c r="E1451" t="s">
        <v>404</v>
      </c>
      <c r="F1451" t="s">
        <v>55</v>
      </c>
      <c r="G1451" t="s">
        <v>346</v>
      </c>
      <c r="I1451" s="42">
        <v>746.99</v>
      </c>
      <c r="J1451" s="42">
        <v>0.01</v>
      </c>
      <c r="K1451" s="42"/>
      <c r="L1451" s="42">
        <v>747</v>
      </c>
      <c r="N1451" s="42">
        <v>747</v>
      </c>
    </row>
    <row r="1452" spans="1:14" x14ac:dyDescent="0.25">
      <c r="A1452" s="1">
        <v>46077</v>
      </c>
      <c r="B1452">
        <v>4</v>
      </c>
      <c r="C1452" t="s">
        <v>541</v>
      </c>
      <c r="D1452" t="s">
        <v>10</v>
      </c>
      <c r="E1452" t="s">
        <v>406</v>
      </c>
      <c r="F1452" t="s">
        <v>407</v>
      </c>
      <c r="G1452" t="s">
        <v>346</v>
      </c>
      <c r="I1452" s="42">
        <v>801.99</v>
      </c>
      <c r="J1452" s="42"/>
      <c r="K1452" s="42"/>
      <c r="L1452" s="42">
        <v>801.99</v>
      </c>
      <c r="N1452" s="42">
        <v>801.99</v>
      </c>
    </row>
    <row r="1453" spans="1:14" x14ac:dyDescent="0.25">
      <c r="A1453" s="1">
        <v>46077</v>
      </c>
      <c r="B1453">
        <v>4</v>
      </c>
      <c r="C1453" t="s">
        <v>541</v>
      </c>
      <c r="D1453" t="s">
        <v>10</v>
      </c>
      <c r="E1453" t="s">
        <v>510</v>
      </c>
      <c r="F1453" t="s">
        <v>55</v>
      </c>
      <c r="G1453" t="s">
        <v>346</v>
      </c>
      <c r="I1453" s="42">
        <v>746.99</v>
      </c>
      <c r="J1453" s="42"/>
      <c r="K1453" s="42"/>
      <c r="L1453" s="42">
        <v>746.99</v>
      </c>
      <c r="N1453" s="42">
        <v>746.99</v>
      </c>
    </row>
    <row r="1454" spans="1:14" x14ac:dyDescent="0.25">
      <c r="A1454" s="1">
        <v>46077</v>
      </c>
      <c r="B1454">
        <v>4</v>
      </c>
      <c r="C1454" t="s">
        <v>541</v>
      </c>
      <c r="D1454" t="s">
        <v>10</v>
      </c>
      <c r="E1454" t="s">
        <v>445</v>
      </c>
      <c r="F1454" t="s">
        <v>52</v>
      </c>
      <c r="G1454" t="s">
        <v>346</v>
      </c>
      <c r="I1454" s="42">
        <v>1251.99</v>
      </c>
      <c r="J1454" s="42"/>
      <c r="K1454" s="42"/>
      <c r="L1454" s="42">
        <v>1251.99</v>
      </c>
      <c r="N1454" s="42">
        <v>1251.99</v>
      </c>
    </row>
    <row r="1455" spans="1:14" x14ac:dyDescent="0.25">
      <c r="A1455" s="1">
        <v>46077</v>
      </c>
      <c r="B1455">
        <v>4</v>
      </c>
      <c r="C1455" t="s">
        <v>541</v>
      </c>
      <c r="D1455" t="s">
        <v>10</v>
      </c>
      <c r="E1455" t="s">
        <v>503</v>
      </c>
      <c r="F1455" t="s">
        <v>69</v>
      </c>
      <c r="G1455" t="s">
        <v>349</v>
      </c>
      <c r="I1455" s="42">
        <v>801.99</v>
      </c>
      <c r="J1455" s="42">
        <v>0.01</v>
      </c>
      <c r="K1455" s="42"/>
      <c r="L1455" s="42">
        <v>802</v>
      </c>
      <c r="N1455" s="42">
        <v>802</v>
      </c>
    </row>
    <row r="1456" spans="1:14" x14ac:dyDescent="0.25">
      <c r="A1456" s="1">
        <v>46077</v>
      </c>
      <c r="B1456">
        <v>4</v>
      </c>
      <c r="C1456" t="s">
        <v>541</v>
      </c>
      <c r="D1456" t="s">
        <v>10</v>
      </c>
      <c r="E1456" t="s">
        <v>413</v>
      </c>
      <c r="F1456" t="s">
        <v>211</v>
      </c>
      <c r="G1456" t="s">
        <v>414</v>
      </c>
      <c r="I1456" s="42">
        <v>746.99</v>
      </c>
      <c r="J1456" s="42">
        <v>30</v>
      </c>
      <c r="K1456" s="42"/>
      <c r="L1456" s="42">
        <v>776.99</v>
      </c>
      <c r="N1456" s="42">
        <v>776.99</v>
      </c>
    </row>
    <row r="1457" spans="1:14" x14ac:dyDescent="0.25">
      <c r="A1457" s="1">
        <v>46077</v>
      </c>
      <c r="B1457">
        <v>4</v>
      </c>
      <c r="C1457" t="s">
        <v>541</v>
      </c>
      <c r="D1457" t="s">
        <v>10</v>
      </c>
      <c r="E1457" t="s">
        <v>415</v>
      </c>
      <c r="F1457" t="s">
        <v>416</v>
      </c>
      <c r="G1457" t="s">
        <v>370</v>
      </c>
      <c r="I1457" s="42">
        <v>931.99</v>
      </c>
      <c r="J1457" s="42">
        <v>30.01</v>
      </c>
      <c r="K1457" s="42"/>
      <c r="L1457" s="42">
        <v>962</v>
      </c>
      <c r="N1457" s="42">
        <v>962</v>
      </c>
    </row>
    <row r="1458" spans="1:14" x14ac:dyDescent="0.25">
      <c r="A1458" s="1">
        <v>46077</v>
      </c>
      <c r="B1458">
        <v>4</v>
      </c>
      <c r="C1458" t="s">
        <v>541</v>
      </c>
      <c r="D1458" t="s">
        <v>10</v>
      </c>
      <c r="E1458" t="s">
        <v>384</v>
      </c>
      <c r="F1458" t="s">
        <v>385</v>
      </c>
      <c r="G1458" t="s">
        <v>349</v>
      </c>
      <c r="I1458" s="42">
        <v>801.99</v>
      </c>
      <c r="J1458" s="42"/>
      <c r="K1458" s="42">
        <v>114.57</v>
      </c>
      <c r="L1458" s="42">
        <v>687.42</v>
      </c>
      <c r="N1458" s="42">
        <v>687.42</v>
      </c>
    </row>
    <row r="1459" spans="1:14" x14ac:dyDescent="0.25">
      <c r="A1459" s="1">
        <v>46077</v>
      </c>
      <c r="B1459">
        <v>4</v>
      </c>
      <c r="C1459" t="s">
        <v>541</v>
      </c>
      <c r="D1459" t="s">
        <v>10</v>
      </c>
      <c r="E1459" t="s">
        <v>459</v>
      </c>
      <c r="F1459" t="s">
        <v>426</v>
      </c>
      <c r="G1459" t="s">
        <v>363</v>
      </c>
      <c r="I1459" s="42">
        <v>746.99</v>
      </c>
      <c r="J1459" s="42">
        <v>1</v>
      </c>
      <c r="K1459" s="42"/>
      <c r="L1459" s="42">
        <v>747.99</v>
      </c>
      <c r="N1459" s="42">
        <v>747.99</v>
      </c>
    </row>
    <row r="1460" spans="1:14" x14ac:dyDescent="0.25">
      <c r="A1460" s="1">
        <v>46077</v>
      </c>
      <c r="B1460">
        <v>4</v>
      </c>
      <c r="C1460" t="s">
        <v>541</v>
      </c>
      <c r="D1460" t="s">
        <v>10</v>
      </c>
      <c r="E1460" t="s">
        <v>395</v>
      </c>
      <c r="F1460" t="s">
        <v>158</v>
      </c>
      <c r="G1460" t="s">
        <v>346</v>
      </c>
      <c r="I1460" s="42">
        <v>746.99</v>
      </c>
      <c r="J1460" s="42"/>
      <c r="K1460" s="42"/>
      <c r="L1460" s="42">
        <v>746.99</v>
      </c>
      <c r="N1460" s="42">
        <v>746.99</v>
      </c>
    </row>
    <row r="1461" spans="1:14" x14ac:dyDescent="0.25">
      <c r="A1461" s="1">
        <v>46077</v>
      </c>
      <c r="B1461">
        <v>4</v>
      </c>
      <c r="C1461" t="s">
        <v>541</v>
      </c>
      <c r="D1461" t="s">
        <v>10</v>
      </c>
      <c r="E1461" t="s">
        <v>529</v>
      </c>
      <c r="F1461" t="s">
        <v>55</v>
      </c>
      <c r="G1461" t="s">
        <v>346</v>
      </c>
      <c r="I1461" s="42">
        <v>746.99</v>
      </c>
      <c r="J1461" s="42"/>
      <c r="K1461" s="42"/>
      <c r="L1461" s="42">
        <v>746.99</v>
      </c>
      <c r="N1461" s="42">
        <v>746.99</v>
      </c>
    </row>
    <row r="1462" spans="1:14" x14ac:dyDescent="0.25">
      <c r="A1462" s="1">
        <v>46077</v>
      </c>
      <c r="B1462">
        <v>4</v>
      </c>
      <c r="C1462" t="s">
        <v>541</v>
      </c>
      <c r="D1462" t="s">
        <v>10</v>
      </c>
      <c r="E1462" t="s">
        <v>405</v>
      </c>
      <c r="F1462" t="s">
        <v>52</v>
      </c>
      <c r="G1462" t="s">
        <v>346</v>
      </c>
      <c r="I1462" s="42">
        <v>1251.99</v>
      </c>
      <c r="J1462" s="42"/>
      <c r="K1462" s="42"/>
      <c r="L1462" s="42">
        <v>1296.99</v>
      </c>
      <c r="N1462" s="42">
        <v>1251.99</v>
      </c>
    </row>
    <row r="1463" spans="1:14" x14ac:dyDescent="0.25">
      <c r="A1463" s="1">
        <v>46077</v>
      </c>
      <c r="B1463">
        <v>4</v>
      </c>
      <c r="C1463" t="s">
        <v>541</v>
      </c>
      <c r="D1463" t="s">
        <v>10</v>
      </c>
      <c r="E1463" t="s">
        <v>482</v>
      </c>
      <c r="F1463" t="s">
        <v>158</v>
      </c>
      <c r="G1463" t="s">
        <v>346</v>
      </c>
      <c r="I1463" s="42">
        <v>746.99</v>
      </c>
      <c r="J1463" s="42">
        <v>3.01</v>
      </c>
      <c r="K1463" s="42"/>
      <c r="L1463" s="42">
        <v>750</v>
      </c>
      <c r="N1463" s="42">
        <v>750</v>
      </c>
    </row>
    <row r="1464" spans="1:14" x14ac:dyDescent="0.25">
      <c r="A1464" s="1">
        <v>46077</v>
      </c>
      <c r="B1464">
        <v>4</v>
      </c>
      <c r="C1464" t="s">
        <v>541</v>
      </c>
      <c r="D1464" t="s">
        <v>10</v>
      </c>
      <c r="E1464" t="s">
        <v>532</v>
      </c>
      <c r="F1464" t="s">
        <v>55</v>
      </c>
      <c r="G1464" t="s">
        <v>346</v>
      </c>
      <c r="I1464" s="42">
        <v>746.99</v>
      </c>
      <c r="J1464" s="42"/>
      <c r="K1464" s="42"/>
      <c r="L1464" s="42">
        <v>1000</v>
      </c>
      <c r="N1464" s="42">
        <v>746.99</v>
      </c>
    </row>
    <row r="1465" spans="1:14" x14ac:dyDescent="0.25">
      <c r="A1465" s="1">
        <v>46077</v>
      </c>
      <c r="B1465">
        <v>4</v>
      </c>
      <c r="C1465" t="s">
        <v>541</v>
      </c>
      <c r="D1465" t="s">
        <v>10</v>
      </c>
      <c r="E1465" t="s">
        <v>710</v>
      </c>
      <c r="F1465" t="s">
        <v>52</v>
      </c>
      <c r="G1465" t="s">
        <v>515</v>
      </c>
      <c r="I1465" s="42">
        <v>1251.99</v>
      </c>
      <c r="J1465" s="42"/>
      <c r="K1465" s="42"/>
      <c r="L1465" s="42">
        <v>1251.99</v>
      </c>
      <c r="N1465" s="42">
        <v>1251.99</v>
      </c>
    </row>
    <row r="1466" spans="1:14" x14ac:dyDescent="0.25">
      <c r="A1466" s="1">
        <v>46077</v>
      </c>
      <c r="B1466">
        <v>4</v>
      </c>
      <c r="C1466" t="s">
        <v>541</v>
      </c>
      <c r="D1466" t="s">
        <v>10</v>
      </c>
      <c r="E1466" t="s">
        <v>382</v>
      </c>
      <c r="F1466" t="s">
        <v>383</v>
      </c>
      <c r="G1466" t="s">
        <v>349</v>
      </c>
      <c r="I1466" s="42">
        <v>981.99</v>
      </c>
      <c r="J1466" s="42"/>
      <c r="K1466" s="42"/>
      <c r="L1466" s="42">
        <v>981.99</v>
      </c>
      <c r="N1466" s="42">
        <v>981.99</v>
      </c>
    </row>
    <row r="1467" spans="1:14" x14ac:dyDescent="0.25">
      <c r="A1467" s="1">
        <v>46077</v>
      </c>
      <c r="B1467">
        <v>4</v>
      </c>
      <c r="C1467" t="s">
        <v>541</v>
      </c>
      <c r="D1467" t="s">
        <v>10</v>
      </c>
      <c r="E1467" t="s">
        <v>419</v>
      </c>
      <c r="F1467" t="s">
        <v>94</v>
      </c>
      <c r="G1467" t="s">
        <v>420</v>
      </c>
      <c r="I1467" s="42">
        <v>746.99</v>
      </c>
      <c r="J1467" s="42">
        <v>30</v>
      </c>
      <c r="K1467" s="42"/>
      <c r="L1467" s="42">
        <v>776.99</v>
      </c>
      <c r="N1467" s="42">
        <v>776.99</v>
      </c>
    </row>
    <row r="1468" spans="1:14" x14ac:dyDescent="0.25">
      <c r="A1468" s="1">
        <v>46077</v>
      </c>
      <c r="B1468">
        <v>4</v>
      </c>
      <c r="C1468" t="s">
        <v>541</v>
      </c>
      <c r="D1468" t="s">
        <v>10</v>
      </c>
      <c r="E1468" t="s">
        <v>418</v>
      </c>
      <c r="F1468" t="s">
        <v>33</v>
      </c>
      <c r="G1468" t="s">
        <v>346</v>
      </c>
      <c r="I1468" s="42">
        <v>851.99</v>
      </c>
      <c r="J1468" s="42"/>
      <c r="K1468" s="42"/>
      <c r="L1468" s="42">
        <v>851.99</v>
      </c>
      <c r="N1468" s="42">
        <v>851.99</v>
      </c>
    </row>
    <row r="1469" spans="1:14" x14ac:dyDescent="0.25">
      <c r="A1469" s="1">
        <v>46077</v>
      </c>
      <c r="B1469">
        <v>4</v>
      </c>
      <c r="C1469" t="s">
        <v>541</v>
      </c>
      <c r="D1469" t="s">
        <v>10</v>
      </c>
      <c r="E1469" t="s">
        <v>501</v>
      </c>
      <c r="F1469" t="s">
        <v>12</v>
      </c>
      <c r="G1469" t="s">
        <v>346</v>
      </c>
      <c r="I1469" s="42">
        <v>746.99</v>
      </c>
      <c r="J1469" s="42">
        <v>30</v>
      </c>
      <c r="K1469" s="42"/>
      <c r="L1469" s="42">
        <v>776.99</v>
      </c>
      <c r="N1469" s="42">
        <v>776.99</v>
      </c>
    </row>
    <row r="1470" spans="1:14" x14ac:dyDescent="0.25">
      <c r="A1470" s="1">
        <v>46077</v>
      </c>
      <c r="B1470">
        <v>4</v>
      </c>
      <c r="C1470" t="s">
        <v>541</v>
      </c>
      <c r="D1470" t="s">
        <v>10</v>
      </c>
      <c r="E1470" t="s">
        <v>425</v>
      </c>
      <c r="F1470" t="s">
        <v>426</v>
      </c>
      <c r="G1470" t="s">
        <v>349</v>
      </c>
      <c r="I1470" s="42">
        <v>881.99</v>
      </c>
      <c r="J1470" s="42"/>
      <c r="K1470" s="42"/>
      <c r="L1470" s="42">
        <v>881.99</v>
      </c>
      <c r="N1470" s="42">
        <v>881.99</v>
      </c>
    </row>
    <row r="1471" spans="1:14" x14ac:dyDescent="0.25">
      <c r="A1471" s="1">
        <v>46077</v>
      </c>
      <c r="B1471">
        <v>4</v>
      </c>
      <c r="C1471" t="s">
        <v>541</v>
      </c>
      <c r="D1471" t="s">
        <v>10</v>
      </c>
      <c r="E1471" t="s">
        <v>428</v>
      </c>
      <c r="F1471" t="s">
        <v>69</v>
      </c>
      <c r="G1471" t="s">
        <v>378</v>
      </c>
      <c r="I1471" s="42">
        <v>746.99</v>
      </c>
      <c r="J1471" s="42"/>
      <c r="K1471" s="42">
        <v>1.99</v>
      </c>
      <c r="L1471" s="42">
        <v>745</v>
      </c>
      <c r="M1471" s="37">
        <v>301.38</v>
      </c>
      <c r="N1471" s="42">
        <v>745</v>
      </c>
    </row>
    <row r="1472" spans="1:14" x14ac:dyDescent="0.25">
      <c r="A1472" s="1">
        <v>46077</v>
      </c>
      <c r="B1472">
        <v>4</v>
      </c>
      <c r="C1472" t="s">
        <v>541</v>
      </c>
      <c r="D1472" t="s">
        <v>10</v>
      </c>
      <c r="E1472" t="s">
        <v>525</v>
      </c>
      <c r="F1472" t="s">
        <v>158</v>
      </c>
      <c r="G1472" t="s">
        <v>346</v>
      </c>
      <c r="I1472" s="42">
        <v>746.99</v>
      </c>
      <c r="J1472" s="42"/>
      <c r="K1472" s="42"/>
      <c r="L1472" s="42">
        <v>746.99</v>
      </c>
      <c r="N1472" s="42">
        <v>746.99</v>
      </c>
    </row>
    <row r="1473" spans="1:14" x14ac:dyDescent="0.25">
      <c r="A1473" s="1">
        <v>46077</v>
      </c>
      <c r="B1473">
        <v>4</v>
      </c>
      <c r="C1473" t="s">
        <v>541</v>
      </c>
      <c r="D1473" t="s">
        <v>10</v>
      </c>
      <c r="E1473" t="s">
        <v>424</v>
      </c>
      <c r="F1473" t="s">
        <v>12</v>
      </c>
      <c r="G1473" t="s">
        <v>346</v>
      </c>
      <c r="I1473" s="42">
        <v>746.99</v>
      </c>
      <c r="J1473" s="42"/>
      <c r="K1473" s="42">
        <v>106.43</v>
      </c>
      <c r="L1473" s="42">
        <v>640.55999999999995</v>
      </c>
      <c r="N1473" s="42">
        <v>640.55999999999995</v>
      </c>
    </row>
    <row r="1474" spans="1:14" x14ac:dyDescent="0.25">
      <c r="A1474" s="1">
        <v>46077</v>
      </c>
      <c r="B1474">
        <v>4</v>
      </c>
      <c r="C1474" t="s">
        <v>541</v>
      </c>
      <c r="D1474" t="s">
        <v>10</v>
      </c>
      <c r="E1474" t="s">
        <v>431</v>
      </c>
      <c r="F1474" t="s">
        <v>158</v>
      </c>
      <c r="G1474" t="s">
        <v>346</v>
      </c>
      <c r="I1474" s="42">
        <v>746.99</v>
      </c>
      <c r="J1474" s="42"/>
      <c r="K1474" s="42">
        <v>1.99</v>
      </c>
      <c r="L1474" s="42">
        <v>745</v>
      </c>
      <c r="N1474" s="42">
        <v>745</v>
      </c>
    </row>
    <row r="1475" spans="1:14" x14ac:dyDescent="0.25">
      <c r="A1475" s="1">
        <v>46077</v>
      </c>
      <c r="B1475">
        <v>4</v>
      </c>
      <c r="C1475" t="s">
        <v>541</v>
      </c>
      <c r="D1475" t="s">
        <v>10</v>
      </c>
      <c r="E1475" t="s">
        <v>430</v>
      </c>
      <c r="F1475" t="s">
        <v>158</v>
      </c>
      <c r="G1475" t="s">
        <v>346</v>
      </c>
      <c r="I1475" s="42">
        <v>746.99</v>
      </c>
      <c r="J1475" s="42"/>
      <c r="K1475" s="42">
        <v>212.86</v>
      </c>
      <c r="L1475" s="42">
        <v>534.13</v>
      </c>
      <c r="N1475" s="42">
        <v>534.13</v>
      </c>
    </row>
    <row r="1476" spans="1:14" x14ac:dyDescent="0.25">
      <c r="A1476" s="1">
        <v>46077</v>
      </c>
      <c r="B1476">
        <v>4</v>
      </c>
      <c r="C1476" t="s">
        <v>541</v>
      </c>
      <c r="D1476" t="s">
        <v>10</v>
      </c>
      <c r="E1476" t="s">
        <v>432</v>
      </c>
      <c r="F1476" t="s">
        <v>55</v>
      </c>
      <c r="G1476" t="s">
        <v>433</v>
      </c>
      <c r="I1476" s="42">
        <v>746.99</v>
      </c>
      <c r="J1476" s="42">
        <v>30.01</v>
      </c>
      <c r="K1476" s="42"/>
      <c r="L1476" s="42">
        <v>777</v>
      </c>
      <c r="M1476" s="37">
        <v>199.49</v>
      </c>
      <c r="N1476" s="42">
        <v>777</v>
      </c>
    </row>
    <row r="1477" spans="1:14" x14ac:dyDescent="0.25">
      <c r="A1477" s="1">
        <v>46077</v>
      </c>
      <c r="B1477">
        <v>4</v>
      </c>
      <c r="C1477" t="s">
        <v>541</v>
      </c>
      <c r="D1477" t="s">
        <v>10</v>
      </c>
      <c r="E1477" t="s">
        <v>434</v>
      </c>
      <c r="F1477" t="s">
        <v>55</v>
      </c>
      <c r="G1477" t="s">
        <v>346</v>
      </c>
      <c r="I1477" s="42">
        <v>746.99</v>
      </c>
      <c r="J1477" s="42">
        <v>30</v>
      </c>
      <c r="K1477" s="42"/>
      <c r="L1477" s="42">
        <v>776.99</v>
      </c>
      <c r="N1477" s="42">
        <v>776.99</v>
      </c>
    </row>
    <row r="1478" spans="1:14" x14ac:dyDescent="0.25">
      <c r="A1478" s="1">
        <v>46077</v>
      </c>
      <c r="B1478">
        <v>4</v>
      </c>
      <c r="C1478" t="s">
        <v>541</v>
      </c>
      <c r="D1478" t="s">
        <v>10</v>
      </c>
      <c r="E1478" t="s">
        <v>437</v>
      </c>
      <c r="F1478" t="s">
        <v>12</v>
      </c>
      <c r="G1478" t="s">
        <v>346</v>
      </c>
      <c r="I1478" s="42">
        <v>746.99</v>
      </c>
      <c r="J1478" s="42"/>
      <c r="K1478" s="42">
        <v>1.99</v>
      </c>
      <c r="L1478" s="42">
        <v>745</v>
      </c>
      <c r="N1478" s="42">
        <v>745</v>
      </c>
    </row>
    <row r="1479" spans="1:14" x14ac:dyDescent="0.25">
      <c r="A1479" s="1">
        <v>46077</v>
      </c>
      <c r="B1479">
        <v>4</v>
      </c>
      <c r="C1479" t="s">
        <v>541</v>
      </c>
      <c r="D1479" t="s">
        <v>10</v>
      </c>
      <c r="E1479" t="s">
        <v>435</v>
      </c>
      <c r="F1479" t="s">
        <v>41</v>
      </c>
      <c r="G1479" t="s">
        <v>398</v>
      </c>
      <c r="I1479" s="42">
        <v>746.99</v>
      </c>
      <c r="J1479" s="42">
        <v>30</v>
      </c>
      <c r="K1479" s="42"/>
      <c r="L1479" s="42">
        <v>776.99</v>
      </c>
      <c r="N1479" s="42">
        <v>776.99</v>
      </c>
    </row>
    <row r="1480" spans="1:14" x14ac:dyDescent="0.25">
      <c r="A1480" s="1">
        <v>46077</v>
      </c>
      <c r="B1480">
        <v>4</v>
      </c>
      <c r="C1480" t="s">
        <v>541</v>
      </c>
      <c r="D1480" t="s">
        <v>10</v>
      </c>
      <c r="E1480" t="s">
        <v>438</v>
      </c>
      <c r="F1480" t="s">
        <v>52</v>
      </c>
      <c r="G1480" t="s">
        <v>359</v>
      </c>
      <c r="I1480" s="42">
        <v>1251.99</v>
      </c>
      <c r="J1480" s="42">
        <v>30</v>
      </c>
      <c r="K1480" s="42"/>
      <c r="L1480" s="42">
        <v>1281.99</v>
      </c>
      <c r="N1480" s="42">
        <v>1281.99</v>
      </c>
    </row>
    <row r="1481" spans="1:14" x14ac:dyDescent="0.25">
      <c r="A1481" s="1">
        <v>46077</v>
      </c>
      <c r="B1481">
        <v>4</v>
      </c>
      <c r="C1481" t="s">
        <v>541</v>
      </c>
      <c r="D1481" t="s">
        <v>10</v>
      </c>
      <c r="E1481" t="s">
        <v>442</v>
      </c>
      <c r="F1481" t="s">
        <v>52</v>
      </c>
      <c r="G1481" t="s">
        <v>346</v>
      </c>
      <c r="I1481" s="42">
        <v>1251.99</v>
      </c>
      <c r="J1481" s="42"/>
      <c r="K1481" s="42">
        <v>1.99</v>
      </c>
      <c r="L1481" s="42">
        <v>1250</v>
      </c>
      <c r="N1481" s="42">
        <v>1250</v>
      </c>
    </row>
    <row r="1482" spans="1:14" x14ac:dyDescent="0.25">
      <c r="A1482" s="1">
        <v>46077</v>
      </c>
      <c r="B1482">
        <v>4</v>
      </c>
      <c r="C1482" t="s">
        <v>541</v>
      </c>
      <c r="D1482" t="s">
        <v>10</v>
      </c>
      <c r="E1482" t="s">
        <v>441</v>
      </c>
      <c r="F1482" t="s">
        <v>52</v>
      </c>
      <c r="G1482" t="s">
        <v>346</v>
      </c>
      <c r="I1482" s="42">
        <v>1251.99</v>
      </c>
      <c r="J1482" s="42">
        <v>8.01</v>
      </c>
      <c r="K1482" s="42"/>
      <c r="L1482" s="42">
        <v>1260</v>
      </c>
      <c r="N1482" s="42">
        <v>1260</v>
      </c>
    </row>
    <row r="1483" spans="1:14" x14ac:dyDescent="0.25">
      <c r="A1483" s="1">
        <v>46077</v>
      </c>
      <c r="B1483">
        <v>4</v>
      </c>
      <c r="C1483" t="s">
        <v>541</v>
      </c>
      <c r="D1483" t="s">
        <v>10</v>
      </c>
      <c r="E1483" t="s">
        <v>443</v>
      </c>
      <c r="F1483" t="s">
        <v>52</v>
      </c>
      <c r="G1483" t="s">
        <v>346</v>
      </c>
      <c r="I1483" s="42">
        <v>1251.99</v>
      </c>
      <c r="J1483" s="42">
        <v>60</v>
      </c>
      <c r="K1483" s="42"/>
      <c r="L1483" s="42">
        <v>1311.99</v>
      </c>
      <c r="N1483" s="42">
        <v>1311.99</v>
      </c>
    </row>
    <row r="1484" spans="1:14" x14ac:dyDescent="0.25">
      <c r="A1484" s="1">
        <v>46077</v>
      </c>
      <c r="B1484">
        <v>4</v>
      </c>
      <c r="C1484" t="s">
        <v>541</v>
      </c>
      <c r="D1484" t="s">
        <v>10</v>
      </c>
      <c r="E1484" t="s">
        <v>444</v>
      </c>
      <c r="F1484" t="s">
        <v>52</v>
      </c>
      <c r="G1484" t="s">
        <v>409</v>
      </c>
      <c r="I1484" s="42">
        <v>1251.99</v>
      </c>
      <c r="J1484" s="42">
        <v>30.01</v>
      </c>
      <c r="K1484" s="42"/>
      <c r="L1484" s="42">
        <v>1282</v>
      </c>
      <c r="N1484" s="42">
        <v>1282</v>
      </c>
    </row>
    <row r="1485" spans="1:14" x14ac:dyDescent="0.25">
      <c r="A1485" s="1">
        <v>46077</v>
      </c>
      <c r="B1485">
        <v>4</v>
      </c>
      <c r="C1485" t="s">
        <v>541</v>
      </c>
      <c r="D1485" t="s">
        <v>10</v>
      </c>
      <c r="E1485" t="s">
        <v>446</v>
      </c>
      <c r="F1485" t="s">
        <v>447</v>
      </c>
      <c r="G1485" t="s">
        <v>349</v>
      </c>
      <c r="I1485" s="42">
        <v>851.99</v>
      </c>
      <c r="J1485" s="42"/>
      <c r="K1485" s="42"/>
      <c r="L1485" s="42">
        <v>851.99</v>
      </c>
      <c r="N1485" s="42">
        <v>851.99</v>
      </c>
    </row>
    <row r="1486" spans="1:14" x14ac:dyDescent="0.25">
      <c r="A1486" s="1">
        <v>46077</v>
      </c>
      <c r="B1486">
        <v>4</v>
      </c>
      <c r="C1486" t="s">
        <v>541</v>
      </c>
      <c r="D1486" t="s">
        <v>10</v>
      </c>
      <c r="E1486" t="s">
        <v>448</v>
      </c>
      <c r="F1486" t="s">
        <v>255</v>
      </c>
      <c r="G1486" t="s">
        <v>409</v>
      </c>
      <c r="I1486" s="42">
        <v>801.99</v>
      </c>
      <c r="J1486" s="42">
        <v>30</v>
      </c>
      <c r="K1486" s="42"/>
      <c r="L1486" s="42">
        <v>831.99</v>
      </c>
      <c r="N1486" s="42">
        <v>831.99</v>
      </c>
    </row>
    <row r="1487" spans="1:14" x14ac:dyDescent="0.25">
      <c r="A1487" s="1">
        <v>46077</v>
      </c>
      <c r="B1487">
        <v>4</v>
      </c>
      <c r="C1487" t="s">
        <v>541</v>
      </c>
      <c r="D1487" t="s">
        <v>10</v>
      </c>
      <c r="E1487" t="s">
        <v>506</v>
      </c>
      <c r="F1487" t="s">
        <v>158</v>
      </c>
      <c r="G1487" t="s">
        <v>346</v>
      </c>
      <c r="I1487" s="42">
        <v>746.99</v>
      </c>
      <c r="J1487" s="42"/>
      <c r="K1487" s="42"/>
      <c r="L1487" s="42">
        <v>746.99</v>
      </c>
      <c r="N1487" s="42">
        <v>746.99</v>
      </c>
    </row>
    <row r="1488" spans="1:14" x14ac:dyDescent="0.25">
      <c r="A1488" s="1">
        <v>46077</v>
      </c>
      <c r="B1488">
        <v>4</v>
      </c>
      <c r="C1488" t="s">
        <v>541</v>
      </c>
      <c r="D1488" t="s">
        <v>10</v>
      </c>
      <c r="E1488" t="s">
        <v>526</v>
      </c>
      <c r="F1488" t="s">
        <v>158</v>
      </c>
      <c r="G1488" t="s">
        <v>346</v>
      </c>
      <c r="I1488" s="42">
        <v>746.99</v>
      </c>
      <c r="J1488" s="42"/>
      <c r="K1488" s="42"/>
      <c r="L1488" s="42">
        <v>746.99</v>
      </c>
      <c r="N1488" s="42">
        <v>746.99</v>
      </c>
    </row>
    <row r="1489" spans="1:14" x14ac:dyDescent="0.25">
      <c r="A1489" s="1">
        <v>46077</v>
      </c>
      <c r="B1489">
        <v>4</v>
      </c>
      <c r="C1489" t="s">
        <v>541</v>
      </c>
      <c r="D1489" t="s">
        <v>10</v>
      </c>
      <c r="E1489" t="s">
        <v>509</v>
      </c>
      <c r="F1489" t="s">
        <v>12</v>
      </c>
      <c r="G1489" t="s">
        <v>346</v>
      </c>
      <c r="I1489" s="42">
        <v>746.99</v>
      </c>
      <c r="J1489" s="42"/>
      <c r="K1489" s="42"/>
      <c r="L1489" s="42">
        <v>746.99</v>
      </c>
      <c r="N1489" s="42">
        <v>746.99</v>
      </c>
    </row>
    <row r="1490" spans="1:14" x14ac:dyDescent="0.25">
      <c r="A1490" s="1">
        <v>46077</v>
      </c>
      <c r="B1490">
        <v>4</v>
      </c>
      <c r="C1490" t="s">
        <v>541</v>
      </c>
      <c r="D1490" t="s">
        <v>10</v>
      </c>
      <c r="E1490" t="s">
        <v>491</v>
      </c>
      <c r="F1490" t="s">
        <v>403</v>
      </c>
      <c r="G1490" t="s">
        <v>346</v>
      </c>
      <c r="I1490" s="42">
        <v>1001.99</v>
      </c>
      <c r="J1490" s="42"/>
      <c r="K1490" s="42"/>
      <c r="L1490" s="42">
        <v>1496.99</v>
      </c>
      <c r="N1490" s="42">
        <v>1001.99</v>
      </c>
    </row>
    <row r="1491" spans="1:14" x14ac:dyDescent="0.25">
      <c r="A1491" s="1">
        <v>46077</v>
      </c>
      <c r="B1491">
        <v>4</v>
      </c>
      <c r="C1491" t="s">
        <v>541</v>
      </c>
      <c r="D1491" t="s">
        <v>10</v>
      </c>
      <c r="E1491" t="s">
        <v>521</v>
      </c>
      <c r="F1491" t="s">
        <v>522</v>
      </c>
      <c r="G1491" t="s">
        <v>523</v>
      </c>
      <c r="I1491" s="42">
        <v>851.99</v>
      </c>
      <c r="J1491" s="42"/>
      <c r="K1491" s="42"/>
      <c r="L1491" s="42">
        <v>1346.99</v>
      </c>
      <c r="M1491" s="37">
        <v>349.63</v>
      </c>
      <c r="N1491" s="42">
        <v>851.99</v>
      </c>
    </row>
    <row r="1492" spans="1:14" x14ac:dyDescent="0.25">
      <c r="A1492" s="1">
        <v>46077</v>
      </c>
      <c r="B1492">
        <v>4</v>
      </c>
      <c r="C1492" t="s">
        <v>541</v>
      </c>
      <c r="D1492" t="s">
        <v>10</v>
      </c>
      <c r="E1492" t="s">
        <v>533</v>
      </c>
      <c r="F1492" t="s">
        <v>211</v>
      </c>
      <c r="G1492" t="s">
        <v>346</v>
      </c>
      <c r="I1492" s="42">
        <v>746.99</v>
      </c>
      <c r="J1492" s="42"/>
      <c r="K1492" s="42"/>
      <c r="L1492" s="42">
        <v>1241.99</v>
      </c>
      <c r="N1492" s="42">
        <v>746.99</v>
      </c>
    </row>
    <row r="1493" spans="1:14" x14ac:dyDescent="0.25">
      <c r="A1493" s="1">
        <v>46077</v>
      </c>
      <c r="B1493">
        <v>4</v>
      </c>
      <c r="C1493" t="s">
        <v>541</v>
      </c>
      <c r="D1493" t="s">
        <v>10</v>
      </c>
      <c r="E1493" t="s">
        <v>362</v>
      </c>
      <c r="F1493" t="s">
        <v>52</v>
      </c>
      <c r="G1493" t="s">
        <v>363</v>
      </c>
      <c r="I1493" s="42">
        <v>1251.99</v>
      </c>
      <c r="J1493" s="42"/>
      <c r="K1493" s="42"/>
      <c r="L1493" s="42">
        <v>1500</v>
      </c>
      <c r="N1493" s="42">
        <v>1251.99</v>
      </c>
    </row>
    <row r="1494" spans="1:14" x14ac:dyDescent="0.25">
      <c r="A1494" s="1">
        <v>46077</v>
      </c>
      <c r="B1494">
        <v>4</v>
      </c>
      <c r="C1494" t="s">
        <v>541</v>
      </c>
      <c r="D1494" t="s">
        <v>10</v>
      </c>
      <c r="E1494" t="s">
        <v>399</v>
      </c>
      <c r="F1494" t="s">
        <v>12</v>
      </c>
      <c r="G1494" t="s">
        <v>346</v>
      </c>
      <c r="I1494" s="42">
        <v>746.99</v>
      </c>
      <c r="J1494" s="42"/>
      <c r="K1494" s="42"/>
      <c r="L1494" s="42">
        <v>746.99</v>
      </c>
      <c r="N1494" s="42">
        <v>746.99</v>
      </c>
    </row>
    <row r="1495" spans="1:14" x14ac:dyDescent="0.25">
      <c r="A1495" s="1">
        <v>46077</v>
      </c>
      <c r="B1495">
        <v>4</v>
      </c>
      <c r="C1495" t="s">
        <v>541</v>
      </c>
      <c r="D1495" t="s">
        <v>10</v>
      </c>
      <c r="E1495" t="s">
        <v>423</v>
      </c>
      <c r="F1495" t="s">
        <v>12</v>
      </c>
      <c r="G1495" t="s">
        <v>346</v>
      </c>
      <c r="I1495" s="42">
        <v>746.99</v>
      </c>
      <c r="J1495" s="42"/>
      <c r="K1495" s="42"/>
      <c r="L1495" s="42">
        <v>746.99</v>
      </c>
      <c r="N1495" s="42">
        <v>746.99</v>
      </c>
    </row>
    <row r="1496" spans="1:14" x14ac:dyDescent="0.25">
      <c r="A1496" s="1">
        <v>46077</v>
      </c>
      <c r="B1496">
        <v>4</v>
      </c>
      <c r="C1496" t="s">
        <v>541</v>
      </c>
      <c r="D1496" t="s">
        <v>10</v>
      </c>
      <c r="E1496" t="s">
        <v>439</v>
      </c>
      <c r="F1496" t="s">
        <v>52</v>
      </c>
      <c r="G1496" t="s">
        <v>346</v>
      </c>
      <c r="I1496" s="42">
        <v>1251.99</v>
      </c>
      <c r="J1496" s="42">
        <v>30</v>
      </c>
      <c r="K1496" s="42"/>
      <c r="L1496" s="42">
        <v>1281.99</v>
      </c>
      <c r="N1496" s="42">
        <v>1281.99</v>
      </c>
    </row>
    <row r="1497" spans="1:14" x14ac:dyDescent="0.25">
      <c r="A1497" s="1">
        <v>46077</v>
      </c>
      <c r="B1497">
        <v>4</v>
      </c>
      <c r="C1497" t="s">
        <v>541</v>
      </c>
      <c r="D1497" t="s">
        <v>10</v>
      </c>
      <c r="E1497" t="s">
        <v>450</v>
      </c>
      <c r="F1497" t="s">
        <v>451</v>
      </c>
      <c r="G1497" t="s">
        <v>346</v>
      </c>
      <c r="I1497" s="42">
        <v>1351.99</v>
      </c>
      <c r="J1497" s="42">
        <v>30.01</v>
      </c>
      <c r="K1497" s="42"/>
      <c r="L1497" s="42">
        <v>1382</v>
      </c>
      <c r="N1497" s="42">
        <v>1382</v>
      </c>
    </row>
    <row r="1498" spans="1:14" x14ac:dyDescent="0.25">
      <c r="A1498" s="1">
        <v>46077</v>
      </c>
      <c r="B1498">
        <v>4</v>
      </c>
      <c r="C1498" t="s">
        <v>541</v>
      </c>
      <c r="D1498" t="s">
        <v>10</v>
      </c>
      <c r="E1498" t="s">
        <v>452</v>
      </c>
      <c r="F1498" t="s">
        <v>12</v>
      </c>
      <c r="G1498" t="s">
        <v>346</v>
      </c>
      <c r="I1498" s="42">
        <v>746.99</v>
      </c>
      <c r="J1498" s="42">
        <v>30</v>
      </c>
      <c r="K1498" s="42"/>
      <c r="L1498" s="42">
        <v>776.99</v>
      </c>
      <c r="N1498" s="42">
        <v>776.99</v>
      </c>
    </row>
    <row r="1499" spans="1:14" x14ac:dyDescent="0.25">
      <c r="A1499" s="1">
        <v>46077</v>
      </c>
      <c r="B1499">
        <v>4</v>
      </c>
      <c r="C1499" t="s">
        <v>541</v>
      </c>
      <c r="D1499" t="s">
        <v>10</v>
      </c>
      <c r="E1499" t="s">
        <v>499</v>
      </c>
      <c r="F1499" t="s">
        <v>500</v>
      </c>
      <c r="G1499" t="s">
        <v>363</v>
      </c>
      <c r="I1499" s="42">
        <v>1001.99</v>
      </c>
      <c r="J1499" s="42"/>
      <c r="K1499" s="42"/>
      <c r="L1499" s="42">
        <v>1496.99</v>
      </c>
      <c r="N1499" s="42">
        <v>1001.99</v>
      </c>
    </row>
    <row r="1500" spans="1:14" x14ac:dyDescent="0.25">
      <c r="A1500" s="1">
        <v>46077</v>
      </c>
      <c r="B1500">
        <v>4</v>
      </c>
      <c r="C1500" t="s">
        <v>541</v>
      </c>
      <c r="D1500" t="s">
        <v>10</v>
      </c>
      <c r="E1500" t="s">
        <v>453</v>
      </c>
      <c r="F1500" t="s">
        <v>387</v>
      </c>
      <c r="G1500" t="s">
        <v>349</v>
      </c>
      <c r="I1500" s="42">
        <v>801.99</v>
      </c>
      <c r="J1500" s="42"/>
      <c r="K1500" s="42"/>
      <c r="L1500" s="42">
        <v>801.99</v>
      </c>
      <c r="N1500" s="42">
        <v>801.99</v>
      </c>
    </row>
    <row r="1501" spans="1:14" x14ac:dyDescent="0.25">
      <c r="A1501" s="1">
        <v>46077</v>
      </c>
      <c r="B1501">
        <v>4</v>
      </c>
      <c r="C1501" t="s">
        <v>541</v>
      </c>
      <c r="D1501" t="s">
        <v>10</v>
      </c>
      <c r="E1501" t="s">
        <v>456</v>
      </c>
      <c r="F1501" t="s">
        <v>41</v>
      </c>
      <c r="G1501" t="s">
        <v>457</v>
      </c>
      <c r="I1501" s="42">
        <v>746.99</v>
      </c>
      <c r="J1501" s="42"/>
      <c r="K1501" s="42">
        <v>1.99</v>
      </c>
      <c r="L1501" s="42">
        <v>745</v>
      </c>
      <c r="N1501" s="42">
        <v>745</v>
      </c>
    </row>
    <row r="1502" spans="1:14" x14ac:dyDescent="0.25">
      <c r="A1502" s="1">
        <v>46077</v>
      </c>
      <c r="B1502">
        <v>4</v>
      </c>
      <c r="C1502" t="s">
        <v>541</v>
      </c>
      <c r="D1502" t="s">
        <v>10</v>
      </c>
      <c r="E1502" t="s">
        <v>458</v>
      </c>
      <c r="F1502" t="s">
        <v>41</v>
      </c>
      <c r="G1502" t="s">
        <v>380</v>
      </c>
      <c r="I1502" s="42">
        <v>746.99</v>
      </c>
      <c r="J1502" s="42"/>
      <c r="K1502" s="42">
        <v>1.99</v>
      </c>
      <c r="L1502" s="42">
        <v>745</v>
      </c>
      <c r="N1502" s="42">
        <v>745</v>
      </c>
    </row>
    <row r="1503" spans="1:14" x14ac:dyDescent="0.25">
      <c r="A1503" s="1">
        <v>46077</v>
      </c>
      <c r="B1503">
        <v>4</v>
      </c>
      <c r="C1503" t="s">
        <v>541</v>
      </c>
      <c r="D1503" t="s">
        <v>10</v>
      </c>
      <c r="E1503" t="s">
        <v>460</v>
      </c>
      <c r="F1503" t="s">
        <v>41</v>
      </c>
      <c r="G1503" t="s">
        <v>346</v>
      </c>
      <c r="I1503" s="42">
        <v>746.99</v>
      </c>
      <c r="J1503" s="42">
        <v>30</v>
      </c>
      <c r="K1503" s="42"/>
      <c r="L1503" s="42">
        <v>776.99</v>
      </c>
      <c r="N1503" s="42">
        <v>776.99</v>
      </c>
    </row>
    <row r="1504" spans="1:14" x14ac:dyDescent="0.25">
      <c r="A1504" s="1">
        <v>46077</v>
      </c>
      <c r="B1504">
        <v>4</v>
      </c>
      <c r="C1504" t="s">
        <v>541</v>
      </c>
      <c r="D1504" t="s">
        <v>10</v>
      </c>
      <c r="E1504" t="s">
        <v>461</v>
      </c>
      <c r="F1504" t="s">
        <v>41</v>
      </c>
      <c r="G1504" t="s">
        <v>462</v>
      </c>
      <c r="I1504" s="42">
        <v>746.99</v>
      </c>
      <c r="J1504" s="42"/>
      <c r="K1504" s="42"/>
      <c r="L1504" s="42">
        <v>746.99</v>
      </c>
      <c r="N1504" s="42">
        <v>746.99</v>
      </c>
    </row>
    <row r="1505" spans="1:14" x14ac:dyDescent="0.25">
      <c r="A1505" s="1">
        <v>46077</v>
      </c>
      <c r="B1505">
        <v>4</v>
      </c>
      <c r="C1505" t="s">
        <v>541</v>
      </c>
      <c r="D1505" t="s">
        <v>10</v>
      </c>
      <c r="E1505" t="s">
        <v>463</v>
      </c>
      <c r="F1505" t="s">
        <v>158</v>
      </c>
      <c r="G1505" t="s">
        <v>346</v>
      </c>
      <c r="I1505" s="42">
        <v>746.99</v>
      </c>
      <c r="J1505" s="42"/>
      <c r="K1505" s="42">
        <v>1.99</v>
      </c>
      <c r="L1505" s="42">
        <v>745</v>
      </c>
      <c r="N1505" s="42">
        <v>745</v>
      </c>
    </row>
    <row r="1506" spans="1:14" x14ac:dyDescent="0.25">
      <c r="A1506" s="1">
        <v>46077</v>
      </c>
      <c r="B1506">
        <v>4</v>
      </c>
      <c r="C1506" t="s">
        <v>541</v>
      </c>
      <c r="D1506" t="s">
        <v>10</v>
      </c>
      <c r="E1506" t="s">
        <v>465</v>
      </c>
      <c r="F1506" t="s">
        <v>41</v>
      </c>
      <c r="G1506" t="s">
        <v>346</v>
      </c>
      <c r="I1506" s="42">
        <v>746.99</v>
      </c>
      <c r="J1506" s="42"/>
      <c r="K1506" s="42"/>
      <c r="L1506" s="42">
        <v>746.99</v>
      </c>
      <c r="N1506" s="42">
        <v>746.99</v>
      </c>
    </row>
    <row r="1507" spans="1:14" x14ac:dyDescent="0.25">
      <c r="A1507" s="1">
        <v>46077</v>
      </c>
      <c r="B1507">
        <v>4</v>
      </c>
      <c r="C1507" t="s">
        <v>541</v>
      </c>
      <c r="D1507" t="s">
        <v>10</v>
      </c>
      <c r="E1507" t="s">
        <v>470</v>
      </c>
      <c r="F1507" t="s">
        <v>55</v>
      </c>
      <c r="G1507" t="s">
        <v>346</v>
      </c>
      <c r="I1507" s="42">
        <v>746.99</v>
      </c>
      <c r="J1507" s="42">
        <v>58.01</v>
      </c>
      <c r="K1507" s="42"/>
      <c r="L1507" s="42">
        <v>805</v>
      </c>
      <c r="N1507" s="42">
        <v>805</v>
      </c>
    </row>
    <row r="1508" spans="1:14" x14ac:dyDescent="0.25">
      <c r="A1508" s="1">
        <v>46077</v>
      </c>
      <c r="B1508">
        <v>4</v>
      </c>
      <c r="C1508" t="s">
        <v>541</v>
      </c>
      <c r="D1508" t="s">
        <v>10</v>
      </c>
      <c r="E1508" t="s">
        <v>471</v>
      </c>
      <c r="F1508" t="s">
        <v>472</v>
      </c>
      <c r="G1508" t="s">
        <v>346</v>
      </c>
      <c r="I1508" s="42">
        <v>746.99</v>
      </c>
      <c r="J1508" s="42">
        <v>30.01</v>
      </c>
      <c r="K1508" s="42"/>
      <c r="L1508" s="42">
        <v>777</v>
      </c>
      <c r="N1508" s="42">
        <v>777</v>
      </c>
    </row>
    <row r="1509" spans="1:14" x14ac:dyDescent="0.25">
      <c r="A1509" s="1">
        <v>46077</v>
      </c>
      <c r="B1509">
        <v>4</v>
      </c>
      <c r="C1509" t="s">
        <v>541</v>
      </c>
      <c r="D1509" t="s">
        <v>10</v>
      </c>
      <c r="E1509" t="s">
        <v>474</v>
      </c>
      <c r="F1509" t="s">
        <v>230</v>
      </c>
      <c r="G1509" t="s">
        <v>467</v>
      </c>
      <c r="I1509" s="42">
        <v>746.99</v>
      </c>
      <c r="J1509" s="42">
        <v>30</v>
      </c>
      <c r="K1509" s="42"/>
      <c r="L1509" s="42">
        <v>776.99</v>
      </c>
      <c r="N1509" s="42">
        <v>776.99</v>
      </c>
    </row>
    <row r="1510" spans="1:14" x14ac:dyDescent="0.25">
      <c r="A1510" s="1">
        <v>46077</v>
      </c>
      <c r="B1510">
        <v>4</v>
      </c>
      <c r="C1510" t="s">
        <v>541</v>
      </c>
      <c r="D1510" t="s">
        <v>10</v>
      </c>
      <c r="E1510" t="s">
        <v>478</v>
      </c>
      <c r="F1510" t="s">
        <v>158</v>
      </c>
      <c r="G1510" t="s">
        <v>346</v>
      </c>
      <c r="I1510" s="42">
        <v>746.99</v>
      </c>
      <c r="J1510" s="42"/>
      <c r="K1510" s="42"/>
      <c r="L1510" s="42">
        <v>746.99</v>
      </c>
      <c r="N1510" s="42">
        <v>746.99</v>
      </c>
    </row>
    <row r="1511" spans="1:14" x14ac:dyDescent="0.25">
      <c r="A1511" s="1">
        <v>46077</v>
      </c>
      <c r="B1511">
        <v>4</v>
      </c>
      <c r="C1511" t="s">
        <v>541</v>
      </c>
      <c r="D1511" t="s">
        <v>10</v>
      </c>
      <c r="E1511" t="s">
        <v>480</v>
      </c>
      <c r="F1511" t="s">
        <v>158</v>
      </c>
      <c r="G1511" t="s">
        <v>346</v>
      </c>
      <c r="I1511" s="42">
        <v>746.99</v>
      </c>
      <c r="J1511" s="42"/>
      <c r="K1511" s="42"/>
      <c r="L1511" s="42">
        <v>746.99</v>
      </c>
      <c r="N1511" s="42">
        <v>746.99</v>
      </c>
    </row>
    <row r="1512" spans="1:14" x14ac:dyDescent="0.25">
      <c r="A1512" s="1">
        <v>46077</v>
      </c>
      <c r="B1512">
        <v>4</v>
      </c>
      <c r="C1512" t="s">
        <v>541</v>
      </c>
      <c r="D1512" t="s">
        <v>10</v>
      </c>
      <c r="E1512" t="s">
        <v>481</v>
      </c>
      <c r="F1512" t="s">
        <v>41</v>
      </c>
      <c r="G1512" t="s">
        <v>398</v>
      </c>
      <c r="I1512" s="42">
        <v>746.99</v>
      </c>
      <c r="J1512" s="42"/>
      <c r="K1512" s="42">
        <v>106.43</v>
      </c>
      <c r="L1512" s="42">
        <v>640.55999999999995</v>
      </c>
      <c r="M1512" s="37">
        <v>389.99</v>
      </c>
      <c r="N1512" s="42">
        <v>640.46</v>
      </c>
    </row>
    <row r="1513" spans="1:14" x14ac:dyDescent="0.25">
      <c r="A1513" s="1">
        <v>46077</v>
      </c>
      <c r="B1513">
        <v>4</v>
      </c>
      <c r="C1513" t="s">
        <v>541</v>
      </c>
      <c r="D1513" t="s">
        <v>10</v>
      </c>
      <c r="E1513" t="s">
        <v>483</v>
      </c>
      <c r="F1513" t="s">
        <v>158</v>
      </c>
      <c r="G1513" t="s">
        <v>346</v>
      </c>
      <c r="I1513" s="42">
        <v>746.99</v>
      </c>
      <c r="J1513" s="42">
        <v>33.01</v>
      </c>
      <c r="K1513" s="42"/>
      <c r="L1513" s="42">
        <v>780</v>
      </c>
      <c r="N1513" s="42">
        <v>780</v>
      </c>
    </row>
    <row r="1514" spans="1:14" x14ac:dyDescent="0.25">
      <c r="A1514" s="1">
        <v>46077</v>
      </c>
      <c r="B1514">
        <v>4</v>
      </c>
      <c r="C1514" t="s">
        <v>541</v>
      </c>
      <c r="D1514" t="s">
        <v>10</v>
      </c>
      <c r="E1514" t="s">
        <v>484</v>
      </c>
      <c r="F1514" t="s">
        <v>158</v>
      </c>
      <c r="G1514" t="s">
        <v>346</v>
      </c>
      <c r="I1514" s="42">
        <v>746.99</v>
      </c>
      <c r="J1514" s="42"/>
      <c r="K1514" s="42"/>
      <c r="L1514" s="42">
        <v>746.99</v>
      </c>
      <c r="N1514" s="42"/>
    </row>
    <row r="1515" spans="1:14" x14ac:dyDescent="0.25">
      <c r="A1515" s="1">
        <v>46077</v>
      </c>
      <c r="B1515">
        <v>4</v>
      </c>
      <c r="C1515" t="s">
        <v>541</v>
      </c>
      <c r="D1515" t="s">
        <v>10</v>
      </c>
      <c r="E1515" t="s">
        <v>485</v>
      </c>
      <c r="F1515" t="s">
        <v>37</v>
      </c>
      <c r="G1515" t="s">
        <v>346</v>
      </c>
      <c r="I1515" s="42">
        <v>746.99</v>
      </c>
      <c r="J1515" s="42">
        <v>30</v>
      </c>
      <c r="K1515" s="42"/>
      <c r="L1515" s="42">
        <v>776.99</v>
      </c>
      <c r="N1515" s="42">
        <v>776.99</v>
      </c>
    </row>
    <row r="1516" spans="1:14" x14ac:dyDescent="0.25">
      <c r="A1516" s="1">
        <v>46077</v>
      </c>
      <c r="B1516">
        <v>4</v>
      </c>
      <c r="C1516" t="s">
        <v>541</v>
      </c>
      <c r="D1516" t="s">
        <v>10</v>
      </c>
      <c r="E1516" t="s">
        <v>487</v>
      </c>
      <c r="F1516" t="s">
        <v>52</v>
      </c>
      <c r="G1516" t="s">
        <v>359</v>
      </c>
      <c r="I1516" s="42">
        <v>1251.99</v>
      </c>
      <c r="J1516" s="42">
        <v>28.01</v>
      </c>
      <c r="K1516" s="42"/>
      <c r="L1516" s="42">
        <v>1280</v>
      </c>
      <c r="N1516" s="42">
        <v>1280</v>
      </c>
    </row>
    <row r="1517" spans="1:14" x14ac:dyDescent="0.25">
      <c r="A1517" s="1">
        <v>46077</v>
      </c>
      <c r="B1517">
        <v>4</v>
      </c>
      <c r="C1517" t="s">
        <v>541</v>
      </c>
      <c r="D1517" t="s">
        <v>10</v>
      </c>
      <c r="E1517" t="s">
        <v>488</v>
      </c>
      <c r="F1517" t="s">
        <v>407</v>
      </c>
      <c r="G1517" t="s">
        <v>346</v>
      </c>
      <c r="I1517" s="42">
        <v>801.99</v>
      </c>
      <c r="J1517" s="42"/>
      <c r="K1517" s="42">
        <v>1.99</v>
      </c>
      <c r="L1517" s="42">
        <v>800</v>
      </c>
      <c r="N1517" s="42">
        <v>800</v>
      </c>
    </row>
    <row r="1518" spans="1:14" x14ac:dyDescent="0.25">
      <c r="A1518" s="1">
        <v>46077</v>
      </c>
      <c r="B1518">
        <v>4</v>
      </c>
      <c r="C1518" t="s">
        <v>541</v>
      </c>
      <c r="D1518" t="s">
        <v>10</v>
      </c>
      <c r="E1518" t="s">
        <v>489</v>
      </c>
      <c r="F1518" t="s">
        <v>52</v>
      </c>
      <c r="G1518" t="s">
        <v>346</v>
      </c>
      <c r="I1518" s="42">
        <v>1251.99</v>
      </c>
      <c r="J1518" s="42"/>
      <c r="K1518" s="42">
        <v>1.99</v>
      </c>
      <c r="L1518" s="42">
        <v>1250</v>
      </c>
      <c r="N1518" s="42">
        <v>1250</v>
      </c>
    </row>
    <row r="1519" spans="1:14" x14ac:dyDescent="0.25">
      <c r="A1519" s="1">
        <v>46077</v>
      </c>
      <c r="B1519">
        <v>4</v>
      </c>
      <c r="C1519" t="s">
        <v>541</v>
      </c>
      <c r="D1519" t="s">
        <v>10</v>
      </c>
      <c r="E1519" t="s">
        <v>490</v>
      </c>
      <c r="F1519" t="s">
        <v>403</v>
      </c>
      <c r="G1519" t="s">
        <v>346</v>
      </c>
      <c r="I1519" s="42">
        <v>931.99</v>
      </c>
      <c r="J1519" s="42"/>
      <c r="K1519" s="42"/>
      <c r="L1519" s="42">
        <v>931.99</v>
      </c>
      <c r="N1519" s="42"/>
    </row>
    <row r="1520" spans="1:14" x14ac:dyDescent="0.25">
      <c r="A1520" s="1">
        <v>46077</v>
      </c>
      <c r="B1520">
        <v>4</v>
      </c>
      <c r="C1520" t="s">
        <v>541</v>
      </c>
      <c r="D1520" t="s">
        <v>10</v>
      </c>
      <c r="E1520" t="s">
        <v>496</v>
      </c>
      <c r="F1520" t="s">
        <v>403</v>
      </c>
      <c r="G1520" t="s">
        <v>346</v>
      </c>
      <c r="I1520" s="42">
        <v>1000</v>
      </c>
      <c r="J1520" s="42">
        <v>30</v>
      </c>
      <c r="K1520" s="42"/>
      <c r="L1520" s="42">
        <v>1030</v>
      </c>
      <c r="N1520" s="42">
        <v>1030</v>
      </c>
    </row>
    <row r="1521" spans="1:14" x14ac:dyDescent="0.25">
      <c r="A1521" s="1">
        <v>46077</v>
      </c>
      <c r="B1521">
        <v>4</v>
      </c>
      <c r="C1521" t="s">
        <v>541</v>
      </c>
      <c r="D1521" t="s">
        <v>10</v>
      </c>
      <c r="E1521" t="s">
        <v>702</v>
      </c>
      <c r="F1521" t="s">
        <v>55</v>
      </c>
      <c r="G1521" t="s">
        <v>703</v>
      </c>
      <c r="I1521" s="42">
        <v>746.99</v>
      </c>
      <c r="J1521" s="42">
        <v>23.01</v>
      </c>
      <c r="K1521" s="42"/>
      <c r="L1521" s="42">
        <v>770</v>
      </c>
      <c r="N1521" s="42">
        <v>770</v>
      </c>
    </row>
    <row r="1522" spans="1:14" x14ac:dyDescent="0.25">
      <c r="A1522" s="1">
        <v>46077</v>
      </c>
      <c r="B1522">
        <v>4</v>
      </c>
      <c r="C1522" t="s">
        <v>541</v>
      </c>
      <c r="D1522" t="s">
        <v>10</v>
      </c>
      <c r="E1522" t="s">
        <v>492</v>
      </c>
      <c r="F1522" t="s">
        <v>28</v>
      </c>
      <c r="G1522" t="s">
        <v>493</v>
      </c>
      <c r="I1522" s="42">
        <v>931.99</v>
      </c>
      <c r="J1522" s="42">
        <v>30</v>
      </c>
      <c r="K1522" s="42"/>
      <c r="L1522" s="42">
        <v>961.99</v>
      </c>
      <c r="N1522" s="42">
        <v>961.99</v>
      </c>
    </row>
    <row r="1523" spans="1:14" x14ac:dyDescent="0.25">
      <c r="A1523" s="1">
        <v>46077</v>
      </c>
      <c r="B1523">
        <v>4</v>
      </c>
      <c r="C1523" t="s">
        <v>541</v>
      </c>
      <c r="D1523" t="s">
        <v>10</v>
      </c>
      <c r="E1523" t="s">
        <v>502</v>
      </c>
      <c r="F1523" t="s">
        <v>55</v>
      </c>
      <c r="G1523" t="s">
        <v>346</v>
      </c>
      <c r="I1523" s="42">
        <v>746.99</v>
      </c>
      <c r="J1523" s="42">
        <v>30</v>
      </c>
      <c r="K1523" s="42"/>
      <c r="L1523" s="42">
        <v>776.99</v>
      </c>
      <c r="N1523" s="42">
        <v>776.99</v>
      </c>
    </row>
    <row r="1524" spans="1:14" x14ac:dyDescent="0.25">
      <c r="A1524" s="1">
        <v>46077</v>
      </c>
      <c r="B1524">
        <v>4</v>
      </c>
      <c r="C1524" t="s">
        <v>541</v>
      </c>
      <c r="D1524" t="s">
        <v>10</v>
      </c>
      <c r="E1524" t="s">
        <v>417</v>
      </c>
      <c r="F1524" t="s">
        <v>52</v>
      </c>
      <c r="G1524" t="s">
        <v>359</v>
      </c>
      <c r="I1524" s="42">
        <v>1251.99</v>
      </c>
      <c r="J1524" s="42">
        <v>48.01</v>
      </c>
      <c r="K1524" s="42"/>
      <c r="L1524" s="42">
        <v>1300</v>
      </c>
      <c r="M1524" s="37">
        <v>443.12</v>
      </c>
      <c r="N1524" s="42">
        <v>1300</v>
      </c>
    </row>
    <row r="1525" spans="1:14" x14ac:dyDescent="0.25">
      <c r="A1525" s="1">
        <v>46077</v>
      </c>
      <c r="B1525">
        <v>4</v>
      </c>
      <c r="C1525" t="s">
        <v>541</v>
      </c>
      <c r="D1525" t="s">
        <v>10</v>
      </c>
      <c r="E1525" t="s">
        <v>497</v>
      </c>
      <c r="F1525" t="s">
        <v>498</v>
      </c>
      <c r="G1525" t="s">
        <v>349</v>
      </c>
      <c r="I1525" s="42">
        <v>901.99</v>
      </c>
      <c r="J1525" s="42">
        <v>30.01</v>
      </c>
      <c r="K1525" s="42"/>
      <c r="L1525" s="42">
        <v>932</v>
      </c>
      <c r="N1525" s="42">
        <v>932</v>
      </c>
    </row>
    <row r="1526" spans="1:14" x14ac:dyDescent="0.25">
      <c r="A1526" s="1">
        <v>46077</v>
      </c>
      <c r="B1526">
        <v>4</v>
      </c>
      <c r="C1526" t="s">
        <v>542</v>
      </c>
      <c r="D1526" t="s">
        <v>136</v>
      </c>
      <c r="E1526" t="s">
        <v>440</v>
      </c>
      <c r="F1526" t="s">
        <v>411</v>
      </c>
      <c r="G1526" t="s">
        <v>346</v>
      </c>
      <c r="I1526" s="42">
        <v>1251.99</v>
      </c>
      <c r="J1526" s="42"/>
      <c r="K1526" s="42"/>
      <c r="L1526" s="42">
        <v>1251.99</v>
      </c>
      <c r="N1526" s="42"/>
    </row>
    <row r="1527" spans="1:14" x14ac:dyDescent="0.25">
      <c r="A1527" s="1">
        <v>46077</v>
      </c>
      <c r="B1527">
        <v>4</v>
      </c>
      <c r="C1527" t="s">
        <v>541</v>
      </c>
      <c r="D1527" t="s">
        <v>10</v>
      </c>
      <c r="E1527" t="s">
        <v>473</v>
      </c>
      <c r="F1527" t="s">
        <v>158</v>
      </c>
      <c r="G1527" t="s">
        <v>346</v>
      </c>
      <c r="I1527" s="42">
        <v>746.99</v>
      </c>
      <c r="J1527" s="42"/>
      <c r="K1527" s="42"/>
      <c r="L1527" s="42">
        <v>746.99</v>
      </c>
      <c r="N1527" s="42"/>
    </row>
    <row r="1528" spans="1:14" x14ac:dyDescent="0.25">
      <c r="A1528" s="1">
        <v>46077</v>
      </c>
      <c r="B1528">
        <v>4</v>
      </c>
      <c r="C1528" t="s">
        <v>541</v>
      </c>
      <c r="D1528" t="s">
        <v>10</v>
      </c>
      <c r="E1528" t="s">
        <v>475</v>
      </c>
      <c r="F1528" t="s">
        <v>37</v>
      </c>
      <c r="G1528" t="s">
        <v>467</v>
      </c>
      <c r="I1528" s="42">
        <v>746.99</v>
      </c>
      <c r="J1528" s="42"/>
      <c r="K1528" s="42"/>
      <c r="L1528" s="42">
        <v>746.99</v>
      </c>
      <c r="N1528" s="42">
        <v>746.99</v>
      </c>
    </row>
    <row r="1529" spans="1:14" x14ac:dyDescent="0.25">
      <c r="A1529" s="1">
        <v>46077</v>
      </c>
      <c r="B1529">
        <v>4</v>
      </c>
      <c r="C1529" t="s">
        <v>541</v>
      </c>
      <c r="D1529" t="s">
        <v>336</v>
      </c>
      <c r="E1529" t="s">
        <v>476</v>
      </c>
      <c r="F1529" t="s">
        <v>158</v>
      </c>
      <c r="G1529" t="s">
        <v>346</v>
      </c>
      <c r="I1529" s="42">
        <v>746.99</v>
      </c>
      <c r="J1529" s="42"/>
      <c r="K1529" s="42"/>
      <c r="L1529" s="42">
        <v>746.99</v>
      </c>
      <c r="N1529" s="42"/>
    </row>
    <row r="1530" spans="1:14" x14ac:dyDescent="0.25">
      <c r="A1530" s="1">
        <v>46077</v>
      </c>
      <c r="B1530">
        <v>4</v>
      </c>
      <c r="C1530" t="s">
        <v>541</v>
      </c>
      <c r="D1530" t="s">
        <v>10</v>
      </c>
      <c r="E1530" t="s">
        <v>511</v>
      </c>
      <c r="F1530" t="s">
        <v>512</v>
      </c>
      <c r="G1530" t="s">
        <v>346</v>
      </c>
      <c r="I1530" s="42">
        <v>746.99</v>
      </c>
      <c r="J1530" s="42">
        <v>30.01</v>
      </c>
      <c r="K1530" s="42"/>
      <c r="L1530" s="42">
        <v>777</v>
      </c>
      <c r="N1530" s="42">
        <v>777</v>
      </c>
    </row>
    <row r="1531" spans="1:14" x14ac:dyDescent="0.25">
      <c r="A1531" s="1">
        <v>46077</v>
      </c>
      <c r="B1531">
        <v>4</v>
      </c>
      <c r="C1531" t="s">
        <v>541</v>
      </c>
      <c r="D1531" t="s">
        <v>10</v>
      </c>
      <c r="E1531" t="s">
        <v>479</v>
      </c>
      <c r="F1531" t="s">
        <v>41</v>
      </c>
      <c r="G1531" t="s">
        <v>398</v>
      </c>
      <c r="I1531" s="42">
        <v>746.99</v>
      </c>
      <c r="J1531" s="42">
        <v>120</v>
      </c>
      <c r="K1531" s="42"/>
      <c r="L1531" s="42">
        <v>866.99</v>
      </c>
      <c r="M1531" s="37">
        <v>397.23</v>
      </c>
      <c r="N1531" s="42">
        <v>866.99</v>
      </c>
    </row>
    <row r="1532" spans="1:14" x14ac:dyDescent="0.25">
      <c r="A1532" s="1">
        <v>46077</v>
      </c>
      <c r="B1532">
        <v>4</v>
      </c>
      <c r="C1532" t="s">
        <v>541</v>
      </c>
      <c r="D1532" t="s">
        <v>10</v>
      </c>
      <c r="E1532" t="s">
        <v>711</v>
      </c>
      <c r="F1532" t="s">
        <v>383</v>
      </c>
      <c r="G1532" t="s">
        <v>370</v>
      </c>
      <c r="I1532" s="42">
        <v>991.99</v>
      </c>
      <c r="J1532" s="42"/>
      <c r="K1532" s="42"/>
      <c r="L1532" s="42">
        <v>991.99</v>
      </c>
      <c r="N1532" s="42">
        <v>991.99</v>
      </c>
    </row>
    <row r="1533" spans="1:14" x14ac:dyDescent="0.25">
      <c r="A1533" s="1">
        <v>46077</v>
      </c>
      <c r="B1533">
        <v>4</v>
      </c>
      <c r="C1533" t="s">
        <v>541</v>
      </c>
      <c r="D1533" t="s">
        <v>10</v>
      </c>
      <c r="E1533" t="s">
        <v>712</v>
      </c>
      <c r="F1533" t="s">
        <v>383</v>
      </c>
      <c r="G1533" t="s">
        <v>370</v>
      </c>
      <c r="I1533" s="42">
        <v>991.99</v>
      </c>
      <c r="J1533" s="42"/>
      <c r="K1533" s="42"/>
      <c r="L1533" s="42">
        <v>991.99</v>
      </c>
      <c r="N1533" s="42">
        <v>991.99</v>
      </c>
    </row>
    <row r="1534" spans="1:14" x14ac:dyDescent="0.25">
      <c r="A1534" s="1">
        <v>46077</v>
      </c>
      <c r="B1534">
        <v>4</v>
      </c>
      <c r="C1534" t="s">
        <v>541</v>
      </c>
      <c r="D1534" t="s">
        <v>10</v>
      </c>
      <c r="E1534" t="s">
        <v>421</v>
      </c>
      <c r="F1534" t="s">
        <v>422</v>
      </c>
      <c r="G1534" t="s">
        <v>346</v>
      </c>
      <c r="I1534" s="42">
        <v>1251.99</v>
      </c>
      <c r="J1534" s="42"/>
      <c r="K1534" s="42"/>
      <c r="L1534" s="42">
        <v>1251.99</v>
      </c>
      <c r="N1534" s="42">
        <v>1251.99</v>
      </c>
    </row>
    <row r="1535" spans="1:14" x14ac:dyDescent="0.25">
      <c r="A1535" s="1">
        <v>46077</v>
      </c>
      <c r="B1535">
        <v>4</v>
      </c>
      <c r="C1535" t="s">
        <v>541</v>
      </c>
      <c r="D1535" t="s">
        <v>10</v>
      </c>
      <c r="E1535" t="s">
        <v>536</v>
      </c>
      <c r="F1535" t="s">
        <v>52</v>
      </c>
      <c r="G1535" t="s">
        <v>359</v>
      </c>
      <c r="I1535" s="42">
        <v>1251.99</v>
      </c>
      <c r="J1535" s="42"/>
      <c r="K1535" s="42"/>
      <c r="L1535" s="42">
        <v>1251.99</v>
      </c>
      <c r="N1535" s="42">
        <v>1251.99</v>
      </c>
    </row>
    <row r="1536" spans="1:14" x14ac:dyDescent="0.25">
      <c r="A1536" s="1">
        <v>46077</v>
      </c>
      <c r="B1536">
        <v>4</v>
      </c>
      <c r="C1536" t="s">
        <v>541</v>
      </c>
      <c r="D1536" t="s">
        <v>10</v>
      </c>
      <c r="E1536" t="s">
        <v>516</v>
      </c>
      <c r="F1536" t="s">
        <v>517</v>
      </c>
      <c r="G1536" t="s">
        <v>349</v>
      </c>
      <c r="I1536" s="42">
        <v>801.99</v>
      </c>
      <c r="J1536" s="42">
        <v>30</v>
      </c>
      <c r="K1536" s="42"/>
      <c r="L1536" s="42">
        <v>831.99</v>
      </c>
      <c r="N1536" s="42">
        <v>831.99</v>
      </c>
    </row>
    <row r="1537" spans="1:14" x14ac:dyDescent="0.25">
      <c r="A1537" s="1">
        <v>46077</v>
      </c>
      <c r="B1537">
        <v>4</v>
      </c>
      <c r="C1537" t="s">
        <v>541</v>
      </c>
      <c r="D1537" t="s">
        <v>10</v>
      </c>
      <c r="E1537" t="s">
        <v>390</v>
      </c>
      <c r="F1537" t="s">
        <v>12</v>
      </c>
      <c r="G1537" t="s">
        <v>346</v>
      </c>
      <c r="I1537" s="42">
        <v>746.99</v>
      </c>
      <c r="J1537" s="42"/>
      <c r="K1537" s="42"/>
      <c r="L1537" s="42">
        <v>1241.99</v>
      </c>
      <c r="N1537" s="42">
        <v>746.99</v>
      </c>
    </row>
    <row r="1538" spans="1:14" x14ac:dyDescent="0.25">
      <c r="A1538" s="1">
        <v>46077</v>
      </c>
      <c r="B1538">
        <v>4</v>
      </c>
      <c r="C1538" t="s">
        <v>541</v>
      </c>
      <c r="D1538" t="s">
        <v>10</v>
      </c>
      <c r="E1538" t="s">
        <v>408</v>
      </c>
      <c r="F1538" t="s">
        <v>52</v>
      </c>
      <c r="G1538" t="s">
        <v>409</v>
      </c>
      <c r="I1538" s="42">
        <v>1251.99</v>
      </c>
      <c r="J1538" s="42"/>
      <c r="K1538" s="42"/>
      <c r="L1538" s="42">
        <v>1746.99</v>
      </c>
      <c r="N1538" s="42">
        <v>1251.99</v>
      </c>
    </row>
    <row r="1539" spans="1:14" x14ac:dyDescent="0.25">
      <c r="A1539" s="1">
        <v>46077</v>
      </c>
      <c r="B1539">
        <v>4</v>
      </c>
      <c r="C1539" t="s">
        <v>542</v>
      </c>
      <c r="D1539" t="s">
        <v>136</v>
      </c>
      <c r="E1539" t="s">
        <v>427</v>
      </c>
      <c r="F1539" t="s">
        <v>116</v>
      </c>
      <c r="G1539" t="s">
        <v>363</v>
      </c>
      <c r="I1539" s="42">
        <v>746.99</v>
      </c>
      <c r="J1539" s="42"/>
      <c r="K1539" s="42"/>
      <c r="L1539" s="42">
        <v>746.99</v>
      </c>
      <c r="N1539" s="42"/>
    </row>
    <row r="1540" spans="1:14" x14ac:dyDescent="0.25">
      <c r="A1540" s="1">
        <v>46077</v>
      </c>
      <c r="B1540">
        <v>4</v>
      </c>
      <c r="C1540" t="s">
        <v>542</v>
      </c>
      <c r="D1540" t="s">
        <v>99</v>
      </c>
      <c r="E1540" t="s">
        <v>531</v>
      </c>
      <c r="F1540" t="s">
        <v>158</v>
      </c>
      <c r="G1540" t="s">
        <v>346</v>
      </c>
      <c r="I1540" s="42">
        <v>746.99</v>
      </c>
      <c r="J1540" s="42"/>
      <c r="K1540" s="42"/>
      <c r="L1540" s="42">
        <v>746.99</v>
      </c>
      <c r="N1540" s="42"/>
    </row>
    <row r="1541" spans="1:14" x14ac:dyDescent="0.25">
      <c r="A1541" s="1">
        <v>46077</v>
      </c>
      <c r="B1541">
        <v>4</v>
      </c>
      <c r="C1541" t="s">
        <v>542</v>
      </c>
      <c r="D1541" t="s">
        <v>99</v>
      </c>
      <c r="E1541" t="s">
        <v>538</v>
      </c>
      <c r="F1541" t="s">
        <v>178</v>
      </c>
      <c r="G1541" t="s">
        <v>409</v>
      </c>
      <c r="I1541" s="42">
        <v>801.99</v>
      </c>
      <c r="J1541" s="42"/>
      <c r="K1541" s="42"/>
      <c r="L1541" s="42">
        <v>801.99</v>
      </c>
      <c r="N1541" s="42"/>
    </row>
    <row r="1542" spans="1:14" x14ac:dyDescent="0.25">
      <c r="A1542" s="1">
        <v>46077</v>
      </c>
      <c r="B1542">
        <v>4</v>
      </c>
      <c r="C1542" t="s">
        <v>541</v>
      </c>
      <c r="D1542" t="s">
        <v>10</v>
      </c>
      <c r="E1542" t="s">
        <v>507</v>
      </c>
      <c r="F1542" t="s">
        <v>403</v>
      </c>
      <c r="G1542" t="s">
        <v>346</v>
      </c>
      <c r="I1542" s="42">
        <v>1001.99</v>
      </c>
      <c r="J1542" s="42"/>
      <c r="K1542" s="42"/>
      <c r="L1542" s="42">
        <v>1496.99</v>
      </c>
      <c r="N1542" s="42">
        <v>1001.99</v>
      </c>
    </row>
    <row r="1543" spans="1:14" x14ac:dyDescent="0.25">
      <c r="A1543" s="1">
        <v>46077</v>
      </c>
      <c r="B1543">
        <v>4</v>
      </c>
      <c r="C1543" t="s">
        <v>542</v>
      </c>
      <c r="D1543" t="s">
        <v>234</v>
      </c>
      <c r="E1543" t="s">
        <v>429</v>
      </c>
      <c r="F1543" t="s">
        <v>158</v>
      </c>
      <c r="G1543" t="s">
        <v>346</v>
      </c>
      <c r="I1543" s="42">
        <v>746.99</v>
      </c>
      <c r="J1543" s="42"/>
      <c r="K1543" s="42"/>
      <c r="L1543" s="42">
        <v>746.99</v>
      </c>
      <c r="N1543" s="42"/>
    </row>
    <row r="1544" spans="1:14" x14ac:dyDescent="0.25">
      <c r="A1544" s="1">
        <v>46077</v>
      </c>
      <c r="B1544">
        <v>4</v>
      </c>
      <c r="C1544" t="s">
        <v>542</v>
      </c>
      <c r="D1544" t="s">
        <v>336</v>
      </c>
      <c r="E1544" t="s">
        <v>449</v>
      </c>
      <c r="F1544" t="s">
        <v>41</v>
      </c>
      <c r="G1544" t="s">
        <v>349</v>
      </c>
      <c r="I1544" s="42">
        <v>746.99</v>
      </c>
      <c r="J1544" s="42"/>
      <c r="K1544" s="42"/>
      <c r="L1544" s="42">
        <v>746.99</v>
      </c>
      <c r="N1544" s="42"/>
    </row>
    <row r="1545" spans="1:14" x14ac:dyDescent="0.25">
      <c r="A1545" s="1">
        <v>46077</v>
      </c>
      <c r="B1545">
        <v>4</v>
      </c>
      <c r="C1545" t="s">
        <v>542</v>
      </c>
      <c r="D1545" t="s">
        <v>706</v>
      </c>
      <c r="E1545" t="s">
        <v>454</v>
      </c>
      <c r="F1545" t="s">
        <v>455</v>
      </c>
      <c r="G1545" t="s">
        <v>349</v>
      </c>
      <c r="I1545" s="42">
        <v>831.99</v>
      </c>
      <c r="J1545" s="42"/>
      <c r="K1545" s="42"/>
      <c r="L1545" s="42">
        <v>831.99</v>
      </c>
      <c r="N1545" s="42"/>
    </row>
    <row r="1546" spans="1:14" x14ac:dyDescent="0.25">
      <c r="A1546" s="1">
        <v>46077</v>
      </c>
      <c r="B1546">
        <v>4</v>
      </c>
      <c r="C1546" t="s">
        <v>542</v>
      </c>
      <c r="D1546" t="s">
        <v>99</v>
      </c>
      <c r="E1546" t="s">
        <v>464</v>
      </c>
      <c r="F1546" t="s">
        <v>55</v>
      </c>
      <c r="G1546" t="s">
        <v>346</v>
      </c>
      <c r="I1546" s="42">
        <v>746.99</v>
      </c>
      <c r="J1546" s="42"/>
      <c r="K1546" s="42"/>
      <c r="L1546" s="42">
        <v>746.99</v>
      </c>
      <c r="N1546" s="42"/>
    </row>
    <row r="1547" spans="1:14" x14ac:dyDescent="0.25">
      <c r="A1547" s="1">
        <v>46077</v>
      </c>
      <c r="B1547">
        <v>4</v>
      </c>
      <c r="C1547" t="s">
        <v>542</v>
      </c>
      <c r="D1547" t="s">
        <v>99</v>
      </c>
      <c r="E1547" t="s">
        <v>477</v>
      </c>
      <c r="F1547" t="s">
        <v>230</v>
      </c>
      <c r="G1547" t="s">
        <v>346</v>
      </c>
      <c r="I1547" s="42">
        <v>746.99</v>
      </c>
      <c r="J1547" s="42"/>
      <c r="K1547" s="42"/>
      <c r="L1547" s="42">
        <v>746.99</v>
      </c>
      <c r="N1547" s="42"/>
    </row>
    <row r="1548" spans="1:14" x14ac:dyDescent="0.25">
      <c r="A1548" s="1">
        <v>46077</v>
      </c>
      <c r="B1548">
        <v>4</v>
      </c>
      <c r="C1548" t="s">
        <v>542</v>
      </c>
      <c r="D1548" t="s">
        <v>99</v>
      </c>
      <c r="E1548" t="s">
        <v>486</v>
      </c>
      <c r="F1548" t="s">
        <v>52</v>
      </c>
      <c r="G1548" t="s">
        <v>346</v>
      </c>
      <c r="I1548" s="42">
        <v>1251.99</v>
      </c>
      <c r="J1548" s="42"/>
      <c r="K1548" s="42"/>
      <c r="L1548" s="42">
        <v>1251.99</v>
      </c>
      <c r="N1548" s="42"/>
    </row>
    <row r="1549" spans="1:14" x14ac:dyDescent="0.25">
      <c r="A1549" s="1">
        <v>46077</v>
      </c>
      <c r="B1549">
        <v>4</v>
      </c>
      <c r="C1549" t="s">
        <v>541</v>
      </c>
      <c r="D1549" t="s">
        <v>10</v>
      </c>
      <c r="E1549" t="s">
        <v>494</v>
      </c>
      <c r="F1549" t="s">
        <v>69</v>
      </c>
      <c r="G1549" t="s">
        <v>349</v>
      </c>
      <c r="I1549" s="42">
        <v>801.99</v>
      </c>
      <c r="J1549" s="42"/>
      <c r="K1549" s="42"/>
      <c r="L1549" s="42">
        <v>996.99</v>
      </c>
      <c r="N1549" s="42">
        <v>801.99</v>
      </c>
    </row>
    <row r="1550" spans="1:14" x14ac:dyDescent="0.25">
      <c r="A1550" s="1">
        <v>46077</v>
      </c>
      <c r="B1550">
        <v>4</v>
      </c>
      <c r="C1550" t="s">
        <v>542</v>
      </c>
      <c r="D1550" t="s">
        <v>99</v>
      </c>
      <c r="E1550" t="s">
        <v>519</v>
      </c>
      <c r="F1550" t="s">
        <v>520</v>
      </c>
      <c r="G1550" t="s">
        <v>349</v>
      </c>
      <c r="I1550" s="42">
        <v>746.99</v>
      </c>
      <c r="J1550" s="42"/>
      <c r="K1550" s="42"/>
      <c r="L1550" s="42">
        <v>746.99</v>
      </c>
      <c r="N1550" s="42"/>
    </row>
    <row r="1551" spans="1:14" x14ac:dyDescent="0.25">
      <c r="A1551" s="1">
        <v>46077</v>
      </c>
      <c r="B1551">
        <v>4</v>
      </c>
      <c r="C1551" t="s">
        <v>541</v>
      </c>
      <c r="D1551" t="s">
        <v>10</v>
      </c>
      <c r="E1551" t="s">
        <v>504</v>
      </c>
      <c r="F1551" t="s">
        <v>37</v>
      </c>
      <c r="G1551" t="s">
        <v>420</v>
      </c>
      <c r="I1551" s="42">
        <v>746.99</v>
      </c>
      <c r="J1551" s="42"/>
      <c r="K1551" s="42"/>
      <c r="L1551" s="42">
        <v>1241.99</v>
      </c>
      <c r="N1551" s="42">
        <v>746.99</v>
      </c>
    </row>
    <row r="1552" spans="1:14" x14ac:dyDescent="0.25">
      <c r="A1552" s="1">
        <v>46077</v>
      </c>
      <c r="B1552">
        <v>4</v>
      </c>
      <c r="C1552" t="s">
        <v>541</v>
      </c>
      <c r="D1552" t="s">
        <v>10</v>
      </c>
      <c r="E1552" t="s">
        <v>716</v>
      </c>
      <c r="F1552" t="s">
        <v>94</v>
      </c>
      <c r="G1552" t="s">
        <v>462</v>
      </c>
      <c r="I1552" s="42">
        <v>746.99</v>
      </c>
      <c r="J1552" s="42">
        <v>45</v>
      </c>
      <c r="K1552" s="42"/>
      <c r="L1552" s="42">
        <v>791.99</v>
      </c>
      <c r="N1552" s="42">
        <v>791.99</v>
      </c>
    </row>
    <row r="1553" spans="1:14" x14ac:dyDescent="0.25">
      <c r="A1553" s="1">
        <v>46077</v>
      </c>
      <c r="B1553">
        <v>4</v>
      </c>
      <c r="C1553" t="s">
        <v>541</v>
      </c>
      <c r="D1553" t="s">
        <v>10</v>
      </c>
      <c r="E1553" t="s">
        <v>518</v>
      </c>
      <c r="F1553" t="s">
        <v>385</v>
      </c>
      <c r="G1553" t="s">
        <v>349</v>
      </c>
      <c r="I1553" s="42">
        <v>801.99</v>
      </c>
      <c r="J1553" s="42"/>
      <c r="K1553" s="42"/>
      <c r="L1553" s="42">
        <v>1296.99</v>
      </c>
      <c r="N1553" s="42">
        <v>801.99</v>
      </c>
    </row>
    <row r="1554" spans="1:14" x14ac:dyDescent="0.25">
      <c r="A1554" s="1">
        <v>46077</v>
      </c>
      <c r="B1554">
        <v>4</v>
      </c>
      <c r="C1554" t="s">
        <v>542</v>
      </c>
      <c r="D1554" t="s">
        <v>99</v>
      </c>
      <c r="E1554" t="s">
        <v>394</v>
      </c>
      <c r="F1554" t="s">
        <v>230</v>
      </c>
      <c r="G1554" t="s">
        <v>346</v>
      </c>
      <c r="I1554" s="42">
        <v>746.99</v>
      </c>
      <c r="J1554" s="42"/>
      <c r="K1554" s="42"/>
      <c r="L1554" s="42">
        <v>746.99</v>
      </c>
      <c r="N1554" s="42"/>
    </row>
    <row r="1555" spans="1:14" x14ac:dyDescent="0.25">
      <c r="A1555" s="1">
        <v>46077</v>
      </c>
      <c r="B1555">
        <v>4</v>
      </c>
      <c r="C1555" t="s">
        <v>542</v>
      </c>
      <c r="D1555" t="s">
        <v>234</v>
      </c>
      <c r="E1555" t="s">
        <v>495</v>
      </c>
      <c r="F1555" t="s">
        <v>33</v>
      </c>
      <c r="G1555" t="s">
        <v>349</v>
      </c>
      <c r="I1555" s="42">
        <v>901.99</v>
      </c>
      <c r="J1555" s="42"/>
      <c r="K1555" s="42"/>
      <c r="L1555" s="42">
        <v>901.99</v>
      </c>
      <c r="N1555" s="42"/>
    </row>
    <row r="1556" spans="1:14" x14ac:dyDescent="0.25">
      <c r="A1556" s="1">
        <v>46077</v>
      </c>
      <c r="B1556">
        <v>4</v>
      </c>
      <c r="C1556" t="s">
        <v>542</v>
      </c>
      <c r="D1556" t="s">
        <v>336</v>
      </c>
      <c r="E1556" t="s">
        <v>367</v>
      </c>
      <c r="F1556" t="s">
        <v>52</v>
      </c>
      <c r="G1556" t="s">
        <v>346</v>
      </c>
      <c r="I1556" s="42">
        <v>1251.99</v>
      </c>
      <c r="J1556" s="42"/>
      <c r="K1556" s="42"/>
      <c r="L1556" s="42">
        <v>1251.99</v>
      </c>
      <c r="N1556" s="42"/>
    </row>
    <row r="1557" spans="1:14" x14ac:dyDescent="0.25">
      <c r="A1557" s="1">
        <v>46077</v>
      </c>
      <c r="B1557">
        <v>4</v>
      </c>
      <c r="C1557" t="s">
        <v>542</v>
      </c>
      <c r="D1557" t="s">
        <v>234</v>
      </c>
      <c r="E1557" t="s">
        <v>527</v>
      </c>
      <c r="F1557" t="s">
        <v>158</v>
      </c>
      <c r="G1557" t="s">
        <v>346</v>
      </c>
      <c r="I1557" s="42">
        <v>746.99</v>
      </c>
      <c r="J1557" s="42"/>
      <c r="K1557" s="42"/>
      <c r="L1557" s="42">
        <v>746.99</v>
      </c>
      <c r="N1557" s="42"/>
    </row>
    <row r="1558" spans="1:14" x14ac:dyDescent="0.25">
      <c r="A1558" s="1">
        <v>46077</v>
      </c>
      <c r="B1558">
        <v>4</v>
      </c>
      <c r="C1558" t="s">
        <v>542</v>
      </c>
      <c r="D1558" t="s">
        <v>336</v>
      </c>
      <c r="E1558" t="s">
        <v>528</v>
      </c>
      <c r="F1558" t="s">
        <v>158</v>
      </c>
      <c r="G1558" t="s">
        <v>346</v>
      </c>
      <c r="I1558" s="42">
        <v>746.99</v>
      </c>
      <c r="J1558" s="42"/>
      <c r="K1558" s="42"/>
      <c r="L1558" s="42">
        <v>746.99</v>
      </c>
      <c r="N1558" s="42"/>
    </row>
    <row r="1559" spans="1:14" x14ac:dyDescent="0.25">
      <c r="A1559" s="1">
        <v>46077</v>
      </c>
      <c r="B1559">
        <v>4</v>
      </c>
      <c r="C1559" t="s">
        <v>542</v>
      </c>
      <c r="D1559" t="s">
        <v>336</v>
      </c>
      <c r="E1559" t="s">
        <v>530</v>
      </c>
      <c r="F1559" t="s">
        <v>52</v>
      </c>
      <c r="G1559" t="s">
        <v>515</v>
      </c>
      <c r="I1559" s="42">
        <v>1251.99</v>
      </c>
      <c r="J1559" s="42"/>
      <c r="K1559" s="42"/>
      <c r="L1559" s="42">
        <v>1251.99</v>
      </c>
      <c r="N1559" s="42"/>
    </row>
    <row r="1560" spans="1:14" x14ac:dyDescent="0.25">
      <c r="A1560" s="1">
        <v>46077</v>
      </c>
      <c r="B1560">
        <v>4</v>
      </c>
      <c r="C1560" t="s">
        <v>542</v>
      </c>
      <c r="D1560" t="s">
        <v>336</v>
      </c>
      <c r="E1560" t="s">
        <v>537</v>
      </c>
      <c r="F1560" t="s">
        <v>407</v>
      </c>
      <c r="G1560" t="s">
        <v>346</v>
      </c>
      <c r="I1560" s="42">
        <v>801.99</v>
      </c>
      <c r="J1560" s="42"/>
      <c r="K1560" s="42"/>
      <c r="L1560" s="42">
        <v>801.99</v>
      </c>
      <c r="N1560" s="42"/>
    </row>
    <row r="1561" spans="1:14" x14ac:dyDescent="0.25">
      <c r="A1561" s="1">
        <v>46077</v>
      </c>
      <c r="B1561">
        <v>4</v>
      </c>
      <c r="C1561" t="s">
        <v>541</v>
      </c>
      <c r="D1561" t="s">
        <v>10</v>
      </c>
      <c r="E1561" t="s">
        <v>717</v>
      </c>
      <c r="F1561" t="s">
        <v>718</v>
      </c>
      <c r="G1561" t="s">
        <v>462</v>
      </c>
      <c r="I1561" s="42">
        <v>1601.99</v>
      </c>
      <c r="J1561" s="42"/>
      <c r="K1561" s="42"/>
      <c r="L1561" s="42">
        <v>2096.9899999999998</v>
      </c>
      <c r="N1561" s="42">
        <v>1601.99</v>
      </c>
    </row>
    <row r="1562" spans="1:14" x14ac:dyDescent="0.25">
      <c r="A1562" s="1">
        <v>46077</v>
      </c>
      <c r="B1562">
        <v>4</v>
      </c>
      <c r="C1562" t="s">
        <v>542</v>
      </c>
      <c r="D1562" t="s">
        <v>10</v>
      </c>
      <c r="E1562" t="s">
        <v>508</v>
      </c>
      <c r="F1562" t="s">
        <v>158</v>
      </c>
      <c r="G1562" t="s">
        <v>346</v>
      </c>
      <c r="I1562" s="42">
        <v>746.99</v>
      </c>
      <c r="J1562" s="42"/>
      <c r="K1562" s="42"/>
      <c r="L1562" s="42">
        <v>746.99</v>
      </c>
      <c r="N1562" s="42">
        <v>746.99</v>
      </c>
    </row>
    <row r="1563" spans="1:14" x14ac:dyDescent="0.25">
      <c r="A1563" s="1">
        <v>46070</v>
      </c>
      <c r="B1563">
        <v>3</v>
      </c>
      <c r="C1563" t="s">
        <v>541</v>
      </c>
      <c r="D1563" t="s">
        <v>10</v>
      </c>
      <c r="E1563" t="s">
        <v>345</v>
      </c>
      <c r="F1563" t="s">
        <v>12</v>
      </c>
      <c r="G1563" t="s">
        <v>346</v>
      </c>
      <c r="I1563" s="42">
        <v>801.99</v>
      </c>
      <c r="J1563" s="42"/>
      <c r="K1563" s="42"/>
      <c r="L1563" s="42">
        <v>801.99</v>
      </c>
      <c r="N1563" s="42"/>
    </row>
    <row r="1564" spans="1:14" x14ac:dyDescent="0.25">
      <c r="A1564" s="1">
        <v>46070</v>
      </c>
      <c r="B1564">
        <v>3</v>
      </c>
      <c r="C1564" t="s">
        <v>541</v>
      </c>
      <c r="D1564" t="s">
        <v>10</v>
      </c>
      <c r="E1564" t="s">
        <v>347</v>
      </c>
      <c r="F1564" t="s">
        <v>348</v>
      </c>
      <c r="G1564" t="s">
        <v>349</v>
      </c>
      <c r="I1564" s="42">
        <v>801.99</v>
      </c>
      <c r="J1564" s="42"/>
      <c r="K1564" s="42"/>
      <c r="L1564" s="42">
        <v>801.99</v>
      </c>
      <c r="N1564" s="42">
        <v>801.99</v>
      </c>
    </row>
    <row r="1565" spans="1:14" x14ac:dyDescent="0.25">
      <c r="A1565" s="1">
        <v>46070</v>
      </c>
      <c r="B1565">
        <v>3</v>
      </c>
      <c r="C1565" t="s">
        <v>541</v>
      </c>
      <c r="D1565" t="s">
        <v>10</v>
      </c>
      <c r="E1565" t="s">
        <v>350</v>
      </c>
      <c r="F1565" t="s">
        <v>12</v>
      </c>
      <c r="G1565" t="s">
        <v>349</v>
      </c>
      <c r="I1565" s="42">
        <v>746.99</v>
      </c>
      <c r="J1565" s="42">
        <v>60</v>
      </c>
      <c r="K1565" s="42"/>
      <c r="L1565" s="42">
        <v>806.99</v>
      </c>
      <c r="N1565" s="42">
        <v>806.99</v>
      </c>
    </row>
    <row r="1566" spans="1:14" x14ac:dyDescent="0.25">
      <c r="A1566" s="1">
        <v>46070</v>
      </c>
      <c r="B1566">
        <v>3</v>
      </c>
      <c r="C1566" t="s">
        <v>541</v>
      </c>
      <c r="D1566" t="s">
        <v>10</v>
      </c>
      <c r="E1566" t="s">
        <v>351</v>
      </c>
      <c r="F1566" t="s">
        <v>116</v>
      </c>
      <c r="G1566" t="s">
        <v>346</v>
      </c>
      <c r="I1566" s="42">
        <v>746.99</v>
      </c>
      <c r="J1566" s="42">
        <v>30</v>
      </c>
      <c r="K1566" s="42"/>
      <c r="L1566" s="42">
        <v>776.99</v>
      </c>
      <c r="N1566" s="42">
        <v>776.99</v>
      </c>
    </row>
    <row r="1567" spans="1:14" x14ac:dyDescent="0.25">
      <c r="A1567" s="1">
        <v>46070</v>
      </c>
      <c r="B1567">
        <v>3</v>
      </c>
      <c r="C1567" t="s">
        <v>541</v>
      </c>
      <c r="D1567" t="s">
        <v>10</v>
      </c>
      <c r="E1567" t="s">
        <v>352</v>
      </c>
      <c r="F1567" t="s">
        <v>158</v>
      </c>
      <c r="G1567" t="s">
        <v>353</v>
      </c>
      <c r="I1567" s="42">
        <v>746.99</v>
      </c>
      <c r="J1567" s="42">
        <v>30.01</v>
      </c>
      <c r="K1567" s="42"/>
      <c r="L1567" s="42">
        <v>777</v>
      </c>
      <c r="N1567" s="42">
        <v>777</v>
      </c>
    </row>
    <row r="1568" spans="1:14" x14ac:dyDescent="0.25">
      <c r="A1568" s="1">
        <v>46070</v>
      </c>
      <c r="B1568">
        <v>3</v>
      </c>
      <c r="C1568" t="s">
        <v>541</v>
      </c>
      <c r="D1568" t="s">
        <v>10</v>
      </c>
      <c r="E1568" t="s">
        <v>354</v>
      </c>
      <c r="F1568" t="s">
        <v>230</v>
      </c>
      <c r="G1568" t="s">
        <v>346</v>
      </c>
      <c r="I1568" s="42">
        <v>746.99</v>
      </c>
      <c r="J1568" s="42">
        <v>30</v>
      </c>
      <c r="K1568" s="42"/>
      <c r="L1568" s="42">
        <v>776.99</v>
      </c>
      <c r="N1568" s="42">
        <v>776.99</v>
      </c>
    </row>
    <row r="1569" spans="1:14" x14ac:dyDescent="0.25">
      <c r="A1569" s="1">
        <v>46070</v>
      </c>
      <c r="B1569">
        <v>3</v>
      </c>
      <c r="C1569" t="s">
        <v>541</v>
      </c>
      <c r="D1569" t="s">
        <v>10</v>
      </c>
      <c r="E1569" t="s">
        <v>355</v>
      </c>
      <c r="F1569" t="s">
        <v>158</v>
      </c>
      <c r="G1569" t="s">
        <v>346</v>
      </c>
      <c r="I1569" s="42">
        <v>746.99</v>
      </c>
      <c r="J1569" s="42">
        <v>30</v>
      </c>
      <c r="K1569" s="42"/>
      <c r="L1569" s="42">
        <v>776.99</v>
      </c>
      <c r="N1569" s="42">
        <v>776.99</v>
      </c>
    </row>
    <row r="1570" spans="1:14" x14ac:dyDescent="0.25">
      <c r="A1570" s="1">
        <v>46070</v>
      </c>
      <c r="B1570">
        <v>3</v>
      </c>
      <c r="C1570" t="s">
        <v>541</v>
      </c>
      <c r="D1570" t="s">
        <v>10</v>
      </c>
      <c r="E1570" t="s">
        <v>356</v>
      </c>
      <c r="F1570" t="s">
        <v>158</v>
      </c>
      <c r="G1570" t="s">
        <v>346</v>
      </c>
      <c r="I1570" s="42">
        <v>746.99</v>
      </c>
      <c r="J1570" s="42">
        <v>59.71</v>
      </c>
      <c r="K1570" s="42"/>
      <c r="L1570" s="42">
        <v>806.7</v>
      </c>
      <c r="N1570" s="42">
        <v>806.7</v>
      </c>
    </row>
    <row r="1571" spans="1:14" x14ac:dyDescent="0.25">
      <c r="A1571" s="1">
        <v>46070</v>
      </c>
      <c r="B1571">
        <v>3</v>
      </c>
      <c r="C1571" t="s">
        <v>541</v>
      </c>
      <c r="D1571" t="s">
        <v>10</v>
      </c>
      <c r="E1571" t="s">
        <v>374</v>
      </c>
      <c r="F1571" t="s">
        <v>158</v>
      </c>
      <c r="G1571" t="s">
        <v>346</v>
      </c>
      <c r="I1571" s="42">
        <v>746.99</v>
      </c>
      <c r="J1571" s="42"/>
      <c r="K1571" s="42"/>
      <c r="L1571" s="42">
        <v>746.99</v>
      </c>
      <c r="N1571" s="42">
        <v>746.99</v>
      </c>
    </row>
    <row r="1572" spans="1:14" x14ac:dyDescent="0.25">
      <c r="A1572" s="1">
        <v>46070</v>
      </c>
      <c r="B1572">
        <v>3</v>
      </c>
      <c r="C1572" t="s">
        <v>541</v>
      </c>
      <c r="D1572" t="s">
        <v>10</v>
      </c>
      <c r="E1572" t="s">
        <v>357</v>
      </c>
      <c r="F1572" t="s">
        <v>55</v>
      </c>
      <c r="G1572" t="s">
        <v>346</v>
      </c>
      <c r="I1572" s="42">
        <v>1251.99</v>
      </c>
      <c r="J1572" s="42">
        <v>60</v>
      </c>
      <c r="K1572" s="42">
        <v>1.99</v>
      </c>
      <c r="L1572" s="42">
        <v>1310</v>
      </c>
      <c r="N1572" s="42">
        <v>1310</v>
      </c>
    </row>
    <row r="1573" spans="1:14" x14ac:dyDescent="0.25">
      <c r="A1573" s="1">
        <v>46070</v>
      </c>
      <c r="B1573">
        <v>3</v>
      </c>
      <c r="C1573" t="s">
        <v>541</v>
      </c>
      <c r="D1573" t="s">
        <v>10</v>
      </c>
      <c r="E1573" t="s">
        <v>358</v>
      </c>
      <c r="F1573" t="s">
        <v>52</v>
      </c>
      <c r="G1573" t="s">
        <v>359</v>
      </c>
      <c r="I1573" s="42">
        <v>746.99</v>
      </c>
      <c r="J1573" s="42"/>
      <c r="K1573" s="42">
        <v>1.49</v>
      </c>
      <c r="L1573" s="42">
        <v>745.5</v>
      </c>
      <c r="N1573" s="42">
        <v>745.5</v>
      </c>
    </row>
    <row r="1574" spans="1:14" x14ac:dyDescent="0.25">
      <c r="A1574" s="1">
        <v>46070</v>
      </c>
      <c r="B1574">
        <v>3</v>
      </c>
      <c r="C1574" t="s">
        <v>541</v>
      </c>
      <c r="D1574" t="s">
        <v>10</v>
      </c>
      <c r="E1574" t="s">
        <v>360</v>
      </c>
      <c r="F1574" t="s">
        <v>211</v>
      </c>
      <c r="G1574" t="s">
        <v>346</v>
      </c>
      <c r="I1574" s="42">
        <v>1251.99</v>
      </c>
      <c r="J1574" s="42">
        <v>60.01</v>
      </c>
      <c r="K1574" s="42"/>
      <c r="L1574" s="42">
        <v>1312</v>
      </c>
      <c r="N1574" s="42">
        <v>1312</v>
      </c>
    </row>
    <row r="1575" spans="1:14" x14ac:dyDescent="0.25">
      <c r="A1575" s="1">
        <v>46070</v>
      </c>
      <c r="B1575">
        <v>3</v>
      </c>
      <c r="C1575" t="s">
        <v>541</v>
      </c>
      <c r="D1575" t="s">
        <v>10</v>
      </c>
      <c r="E1575" t="s">
        <v>361</v>
      </c>
      <c r="F1575" t="s">
        <v>52</v>
      </c>
      <c r="G1575" t="s">
        <v>346</v>
      </c>
      <c r="I1575" s="42">
        <v>1251.99</v>
      </c>
      <c r="J1575" s="42"/>
      <c r="K1575" s="42"/>
      <c r="L1575" s="42">
        <v>1251.99</v>
      </c>
      <c r="N1575" s="42"/>
    </row>
    <row r="1576" spans="1:14" x14ac:dyDescent="0.25">
      <c r="A1576" s="1">
        <v>46070</v>
      </c>
      <c r="B1576">
        <v>3</v>
      </c>
      <c r="C1576" t="s">
        <v>542</v>
      </c>
      <c r="D1576" t="s">
        <v>99</v>
      </c>
      <c r="E1576" t="s">
        <v>362</v>
      </c>
      <c r="F1576" t="s">
        <v>52</v>
      </c>
      <c r="G1576" t="s">
        <v>363</v>
      </c>
      <c r="I1576" s="42">
        <v>801.99</v>
      </c>
      <c r="J1576" s="42">
        <v>90</v>
      </c>
      <c r="K1576" s="42"/>
      <c r="L1576" s="42">
        <v>891.99</v>
      </c>
      <c r="N1576" s="42">
        <v>891.99</v>
      </c>
    </row>
    <row r="1577" spans="1:14" x14ac:dyDescent="0.25">
      <c r="A1577" s="1">
        <v>46070</v>
      </c>
      <c r="B1577">
        <v>3</v>
      </c>
      <c r="C1577" t="s">
        <v>541</v>
      </c>
      <c r="D1577" t="s">
        <v>10</v>
      </c>
      <c r="E1577" t="s">
        <v>364</v>
      </c>
      <c r="F1577" t="s">
        <v>365</v>
      </c>
      <c r="G1577" t="s">
        <v>346</v>
      </c>
      <c r="I1577" s="42">
        <v>1251.99</v>
      </c>
      <c r="J1577" s="42"/>
      <c r="K1577" s="42"/>
      <c r="L1577" s="42">
        <v>1251.99</v>
      </c>
      <c r="N1577" s="42">
        <v>1251.99</v>
      </c>
    </row>
    <row r="1578" spans="1:14" x14ac:dyDescent="0.25">
      <c r="A1578" s="1">
        <v>46070</v>
      </c>
      <c r="B1578">
        <v>3</v>
      </c>
      <c r="C1578" t="s">
        <v>541</v>
      </c>
      <c r="D1578" t="s">
        <v>10</v>
      </c>
      <c r="E1578" t="s">
        <v>366</v>
      </c>
      <c r="F1578" t="s">
        <v>52</v>
      </c>
      <c r="G1578" t="s">
        <v>346</v>
      </c>
      <c r="I1578" s="42">
        <v>1251.99</v>
      </c>
      <c r="J1578" s="42">
        <v>60</v>
      </c>
      <c r="K1578" s="42"/>
      <c r="L1578" s="42">
        <v>1311.99</v>
      </c>
      <c r="N1578" s="42">
        <v>1311.99</v>
      </c>
    </row>
    <row r="1579" spans="1:14" x14ac:dyDescent="0.25">
      <c r="A1579" s="1">
        <v>46070</v>
      </c>
      <c r="B1579">
        <v>3</v>
      </c>
      <c r="C1579" t="s">
        <v>541</v>
      </c>
      <c r="D1579" t="s">
        <v>10</v>
      </c>
      <c r="E1579" t="s">
        <v>375</v>
      </c>
      <c r="F1579" t="s">
        <v>52</v>
      </c>
      <c r="G1579" t="s">
        <v>346</v>
      </c>
      <c r="I1579" s="42">
        <v>1251.99</v>
      </c>
      <c r="J1579" s="42">
        <v>60.01</v>
      </c>
      <c r="K1579" s="42"/>
      <c r="L1579" s="42">
        <v>1312</v>
      </c>
      <c r="N1579" s="42">
        <v>1312</v>
      </c>
    </row>
    <row r="1580" spans="1:14" x14ac:dyDescent="0.25">
      <c r="A1580" s="1">
        <v>46070</v>
      </c>
      <c r="B1580">
        <v>3</v>
      </c>
      <c r="C1580" t="s">
        <v>541</v>
      </c>
      <c r="D1580" t="s">
        <v>10</v>
      </c>
      <c r="E1580" t="s">
        <v>376</v>
      </c>
      <c r="F1580" t="s">
        <v>52</v>
      </c>
      <c r="G1580" t="s">
        <v>346</v>
      </c>
      <c r="I1580" s="42">
        <v>746.99</v>
      </c>
      <c r="J1580" s="42">
        <v>30</v>
      </c>
      <c r="K1580" s="42"/>
      <c r="L1580" s="42">
        <v>776.99</v>
      </c>
      <c r="N1580" s="42">
        <v>776.99</v>
      </c>
    </row>
    <row r="1581" spans="1:14" x14ac:dyDescent="0.25">
      <c r="A1581" s="1">
        <v>46070</v>
      </c>
      <c r="B1581">
        <v>3</v>
      </c>
      <c r="C1581" t="s">
        <v>541</v>
      </c>
      <c r="D1581" t="s">
        <v>10</v>
      </c>
      <c r="E1581" t="s">
        <v>372</v>
      </c>
      <c r="F1581" t="s">
        <v>55</v>
      </c>
      <c r="G1581" t="s">
        <v>373</v>
      </c>
      <c r="I1581" s="42">
        <v>1251.99</v>
      </c>
      <c r="J1581" s="42"/>
      <c r="K1581" s="42"/>
      <c r="L1581" s="42">
        <v>1251.99</v>
      </c>
      <c r="N1581" s="42">
        <v>1251.99</v>
      </c>
    </row>
    <row r="1582" spans="1:14" x14ac:dyDescent="0.25">
      <c r="A1582" s="1">
        <v>46070</v>
      </c>
      <c r="B1582">
        <v>3</v>
      </c>
      <c r="C1582" t="s">
        <v>541</v>
      </c>
      <c r="D1582" t="s">
        <v>10</v>
      </c>
      <c r="E1582" t="s">
        <v>410</v>
      </c>
      <c r="F1582" t="s">
        <v>411</v>
      </c>
      <c r="G1582" t="s">
        <v>346</v>
      </c>
      <c r="I1582" s="42">
        <v>746.99</v>
      </c>
      <c r="J1582" s="42"/>
      <c r="K1582" s="42"/>
      <c r="L1582" s="42">
        <v>746.99</v>
      </c>
      <c r="N1582" s="42">
        <v>746.99</v>
      </c>
    </row>
    <row r="1583" spans="1:14" x14ac:dyDescent="0.25">
      <c r="A1583" s="1">
        <v>46070</v>
      </c>
      <c r="B1583">
        <v>3</v>
      </c>
      <c r="C1583" t="s">
        <v>541</v>
      </c>
      <c r="D1583" t="s">
        <v>10</v>
      </c>
      <c r="E1583" t="s">
        <v>505</v>
      </c>
      <c r="F1583" t="s">
        <v>158</v>
      </c>
      <c r="G1583" t="s">
        <v>346</v>
      </c>
      <c r="I1583" s="42">
        <v>746.99</v>
      </c>
      <c r="J1583" s="42"/>
      <c r="K1583" s="42"/>
      <c r="L1583" s="42">
        <v>746.99</v>
      </c>
      <c r="N1583" s="42"/>
    </row>
    <row r="1584" spans="1:14" x14ac:dyDescent="0.25">
      <c r="A1584" s="1">
        <v>46070</v>
      </c>
      <c r="B1584">
        <v>3</v>
      </c>
      <c r="C1584" t="s">
        <v>542</v>
      </c>
      <c r="D1584" t="s">
        <v>99</v>
      </c>
      <c r="E1584" t="s">
        <v>508</v>
      </c>
      <c r="F1584" t="s">
        <v>158</v>
      </c>
      <c r="G1584" t="s">
        <v>346</v>
      </c>
      <c r="I1584" s="42">
        <v>746.99</v>
      </c>
      <c r="J1584" s="42"/>
      <c r="K1584" s="42"/>
      <c r="L1584" s="42">
        <v>746.99</v>
      </c>
      <c r="N1584" s="42"/>
    </row>
    <row r="1585" spans="1:14" x14ac:dyDescent="0.25">
      <c r="A1585" s="1">
        <v>46070</v>
      </c>
      <c r="B1585">
        <v>3</v>
      </c>
      <c r="C1585" t="s">
        <v>541</v>
      </c>
      <c r="D1585" t="s">
        <v>336</v>
      </c>
      <c r="E1585" t="s">
        <v>325</v>
      </c>
      <c r="F1585" t="s">
        <v>158</v>
      </c>
      <c r="G1585" t="s">
        <v>346</v>
      </c>
      <c r="I1585" s="42">
        <v>746.99</v>
      </c>
      <c r="J1585" s="42">
        <v>30.01</v>
      </c>
      <c r="K1585" s="42">
        <v>106</v>
      </c>
      <c r="L1585" s="42">
        <v>671</v>
      </c>
      <c r="N1585" s="42">
        <v>671</v>
      </c>
    </row>
    <row r="1586" spans="1:14" x14ac:dyDescent="0.25">
      <c r="A1586" s="1">
        <v>46070</v>
      </c>
      <c r="B1586">
        <v>3</v>
      </c>
      <c r="C1586" t="s">
        <v>541</v>
      </c>
      <c r="D1586" t="s">
        <v>10</v>
      </c>
      <c r="E1586" t="s">
        <v>704</v>
      </c>
      <c r="F1586" t="s">
        <v>69</v>
      </c>
      <c r="G1586" t="s">
        <v>705</v>
      </c>
      <c r="I1586" s="42">
        <v>981.99</v>
      </c>
      <c r="J1586" s="42">
        <v>0.01</v>
      </c>
      <c r="K1586" s="42"/>
      <c r="L1586" s="42">
        <v>982</v>
      </c>
      <c r="M1586" s="37">
        <v>230</v>
      </c>
      <c r="N1586" s="42">
        <v>982</v>
      </c>
    </row>
    <row r="1587" spans="1:14" x14ac:dyDescent="0.25">
      <c r="A1587" s="1">
        <v>46070</v>
      </c>
      <c r="B1587">
        <v>3</v>
      </c>
      <c r="C1587" t="s">
        <v>541</v>
      </c>
      <c r="D1587" t="s">
        <v>10</v>
      </c>
      <c r="E1587" t="s">
        <v>708</v>
      </c>
      <c r="F1587" t="s">
        <v>709</v>
      </c>
      <c r="G1587" t="s">
        <v>370</v>
      </c>
      <c r="I1587" s="42">
        <v>1251.99</v>
      </c>
      <c r="J1587" s="42"/>
      <c r="K1587" s="42"/>
      <c r="L1587" s="42">
        <v>1746.99</v>
      </c>
      <c r="N1587" s="42">
        <v>1251.99</v>
      </c>
    </row>
    <row r="1588" spans="1:14" x14ac:dyDescent="0.25">
      <c r="A1588" s="1">
        <v>46070</v>
      </c>
      <c r="B1588">
        <v>3</v>
      </c>
      <c r="C1588" t="s">
        <v>541</v>
      </c>
      <c r="D1588" t="s">
        <v>10</v>
      </c>
      <c r="E1588" t="s">
        <v>710</v>
      </c>
      <c r="F1588" t="s">
        <v>52</v>
      </c>
      <c r="G1588" t="s">
        <v>515</v>
      </c>
      <c r="I1588" s="42">
        <v>746.99</v>
      </c>
      <c r="J1588" s="42">
        <v>3.01</v>
      </c>
      <c r="K1588" s="42"/>
      <c r="L1588" s="42">
        <v>750</v>
      </c>
      <c r="N1588" s="42">
        <v>750</v>
      </c>
    </row>
    <row r="1589" spans="1:14" x14ac:dyDescent="0.25">
      <c r="A1589" s="1">
        <v>46070</v>
      </c>
      <c r="B1589">
        <v>3</v>
      </c>
      <c r="C1589" t="s">
        <v>541</v>
      </c>
      <c r="D1589" t="s">
        <v>10</v>
      </c>
      <c r="E1589" t="s">
        <v>377</v>
      </c>
      <c r="F1589" t="s">
        <v>69</v>
      </c>
      <c r="G1589" t="s">
        <v>378</v>
      </c>
      <c r="I1589" s="42">
        <v>746.99</v>
      </c>
      <c r="J1589" s="42">
        <v>30.01</v>
      </c>
      <c r="K1589" s="42"/>
      <c r="L1589" s="42">
        <v>777</v>
      </c>
      <c r="N1589" s="42">
        <v>777</v>
      </c>
    </row>
    <row r="1590" spans="1:14" x14ac:dyDescent="0.25">
      <c r="A1590" s="1">
        <v>46070</v>
      </c>
      <c r="B1590">
        <v>3</v>
      </c>
      <c r="C1590" t="s">
        <v>541</v>
      </c>
      <c r="D1590" t="s">
        <v>10</v>
      </c>
      <c r="E1590" t="s">
        <v>379</v>
      </c>
      <c r="F1590" t="s">
        <v>41</v>
      </c>
      <c r="G1590" t="s">
        <v>380</v>
      </c>
      <c r="I1590" s="42">
        <v>746.99</v>
      </c>
      <c r="J1590" s="42">
        <v>63</v>
      </c>
      <c r="K1590" s="42"/>
      <c r="L1590" s="42">
        <v>809.99</v>
      </c>
      <c r="N1590" s="42">
        <v>809.99</v>
      </c>
    </row>
    <row r="1591" spans="1:14" x14ac:dyDescent="0.25">
      <c r="A1591" s="1">
        <v>46070</v>
      </c>
      <c r="B1591">
        <v>3</v>
      </c>
      <c r="C1591" t="s">
        <v>541</v>
      </c>
      <c r="D1591" t="s">
        <v>10</v>
      </c>
      <c r="E1591" t="s">
        <v>381</v>
      </c>
      <c r="F1591" t="s">
        <v>41</v>
      </c>
      <c r="G1591" t="s">
        <v>380</v>
      </c>
      <c r="I1591" s="42">
        <v>801.99</v>
      </c>
      <c r="J1591" s="42">
        <v>30</v>
      </c>
      <c r="K1591" s="42"/>
      <c r="L1591" s="42">
        <v>831.99</v>
      </c>
      <c r="N1591" s="42">
        <v>831.99</v>
      </c>
    </row>
    <row r="1592" spans="1:14" x14ac:dyDescent="0.25">
      <c r="A1592" s="1">
        <v>46070</v>
      </c>
      <c r="B1592">
        <v>3</v>
      </c>
      <c r="C1592" t="s">
        <v>541</v>
      </c>
      <c r="D1592" t="s">
        <v>10</v>
      </c>
      <c r="E1592" t="s">
        <v>386</v>
      </c>
      <c r="F1592" t="s">
        <v>387</v>
      </c>
      <c r="G1592" t="s">
        <v>349</v>
      </c>
      <c r="I1592" s="42">
        <v>746.99</v>
      </c>
      <c r="J1592" s="42">
        <v>30.01</v>
      </c>
      <c r="K1592" s="42"/>
      <c r="L1592" s="42">
        <v>777</v>
      </c>
      <c r="N1592" s="42">
        <v>777</v>
      </c>
    </row>
    <row r="1593" spans="1:14" x14ac:dyDescent="0.25">
      <c r="A1593" s="1">
        <v>46070</v>
      </c>
      <c r="B1593">
        <v>3</v>
      </c>
      <c r="C1593" t="s">
        <v>541</v>
      </c>
      <c r="D1593" t="s">
        <v>10</v>
      </c>
      <c r="E1593" t="s">
        <v>388</v>
      </c>
      <c r="F1593" t="s">
        <v>41</v>
      </c>
      <c r="G1593" t="s">
        <v>346</v>
      </c>
      <c r="I1593" s="42">
        <v>746.99</v>
      </c>
      <c r="J1593" s="42">
        <v>30</v>
      </c>
      <c r="K1593" s="42"/>
      <c r="L1593" s="42">
        <v>776.99</v>
      </c>
      <c r="N1593" s="42">
        <v>776.99</v>
      </c>
    </row>
    <row r="1594" spans="1:14" x14ac:dyDescent="0.25">
      <c r="A1594" s="1">
        <v>46070</v>
      </c>
      <c r="B1594">
        <v>3</v>
      </c>
      <c r="C1594" t="s">
        <v>541</v>
      </c>
      <c r="D1594" t="s">
        <v>10</v>
      </c>
      <c r="E1594" t="s">
        <v>389</v>
      </c>
      <c r="F1594" t="s">
        <v>12</v>
      </c>
      <c r="G1594" t="s">
        <v>346</v>
      </c>
      <c r="I1594" s="42">
        <v>746.99</v>
      </c>
      <c r="J1594" s="42"/>
      <c r="K1594" s="42"/>
      <c r="L1594" s="42">
        <v>746.99</v>
      </c>
      <c r="N1594" s="42"/>
    </row>
    <row r="1595" spans="1:14" x14ac:dyDescent="0.25">
      <c r="A1595" s="1">
        <v>46070</v>
      </c>
      <c r="B1595">
        <v>3</v>
      </c>
      <c r="C1595" t="s">
        <v>541</v>
      </c>
      <c r="D1595" t="s">
        <v>10</v>
      </c>
      <c r="E1595" t="s">
        <v>390</v>
      </c>
      <c r="F1595" t="s">
        <v>12</v>
      </c>
      <c r="G1595" t="s">
        <v>346</v>
      </c>
      <c r="I1595" s="42">
        <v>746.99</v>
      </c>
      <c r="J1595" s="42"/>
      <c r="K1595" s="42">
        <v>1.99</v>
      </c>
      <c r="L1595" s="42">
        <v>745</v>
      </c>
      <c r="N1595" s="42">
        <v>745</v>
      </c>
    </row>
    <row r="1596" spans="1:14" x14ac:dyDescent="0.25">
      <c r="A1596" s="1">
        <v>46070</v>
      </c>
      <c r="B1596">
        <v>3</v>
      </c>
      <c r="C1596" t="s">
        <v>541</v>
      </c>
      <c r="D1596" t="s">
        <v>10</v>
      </c>
      <c r="E1596" t="s">
        <v>524</v>
      </c>
      <c r="F1596" t="s">
        <v>41</v>
      </c>
      <c r="G1596" t="s">
        <v>420</v>
      </c>
      <c r="I1596" s="42">
        <v>746.99</v>
      </c>
      <c r="J1596" s="42"/>
      <c r="K1596" s="42">
        <v>1.99</v>
      </c>
      <c r="L1596" s="42">
        <v>745</v>
      </c>
      <c r="N1596" s="42">
        <v>745</v>
      </c>
    </row>
    <row r="1597" spans="1:14" x14ac:dyDescent="0.25">
      <c r="A1597" s="1">
        <v>46070</v>
      </c>
      <c r="B1597">
        <v>3</v>
      </c>
      <c r="C1597" t="s">
        <v>541</v>
      </c>
      <c r="D1597" t="s">
        <v>10</v>
      </c>
      <c r="E1597" t="s">
        <v>391</v>
      </c>
      <c r="F1597" t="s">
        <v>116</v>
      </c>
      <c r="G1597" t="s">
        <v>346</v>
      </c>
      <c r="I1597" s="42">
        <v>896.99</v>
      </c>
      <c r="J1597" s="42"/>
      <c r="K1597" s="42">
        <v>1.99</v>
      </c>
      <c r="L1597" s="42">
        <v>895</v>
      </c>
      <c r="N1597" s="42">
        <v>895</v>
      </c>
    </row>
    <row r="1598" spans="1:14" x14ac:dyDescent="0.25">
      <c r="A1598" s="1">
        <v>46070</v>
      </c>
      <c r="B1598">
        <v>3</v>
      </c>
      <c r="C1598" t="s">
        <v>541</v>
      </c>
      <c r="D1598" t="s">
        <v>10</v>
      </c>
      <c r="E1598" t="s">
        <v>392</v>
      </c>
      <c r="F1598" t="s">
        <v>393</v>
      </c>
      <c r="G1598" t="s">
        <v>349</v>
      </c>
      <c r="I1598" s="42">
        <v>746.99</v>
      </c>
      <c r="J1598" s="42"/>
      <c r="K1598" s="42"/>
      <c r="L1598" s="42">
        <v>746.99</v>
      </c>
      <c r="N1598" s="42">
        <v>746.99</v>
      </c>
    </row>
    <row r="1599" spans="1:14" x14ac:dyDescent="0.25">
      <c r="A1599" s="1">
        <v>46070</v>
      </c>
      <c r="B1599">
        <v>3</v>
      </c>
      <c r="C1599" t="s">
        <v>541</v>
      </c>
      <c r="D1599" t="s">
        <v>10</v>
      </c>
      <c r="E1599" t="s">
        <v>396</v>
      </c>
      <c r="F1599" t="s">
        <v>55</v>
      </c>
      <c r="G1599" t="s">
        <v>346</v>
      </c>
      <c r="I1599" s="42">
        <v>746.99</v>
      </c>
      <c r="J1599" s="42">
        <v>3.01</v>
      </c>
      <c r="K1599" s="42"/>
      <c r="L1599" s="42">
        <v>750</v>
      </c>
      <c r="N1599" s="42">
        <v>750</v>
      </c>
    </row>
    <row r="1600" spans="1:14" x14ac:dyDescent="0.25">
      <c r="A1600" s="1">
        <v>46070</v>
      </c>
      <c r="B1600">
        <v>3</v>
      </c>
      <c r="C1600" t="s">
        <v>541</v>
      </c>
      <c r="D1600" t="s">
        <v>10</v>
      </c>
      <c r="E1600" t="s">
        <v>397</v>
      </c>
      <c r="F1600" t="s">
        <v>41</v>
      </c>
      <c r="G1600" t="s">
        <v>398</v>
      </c>
      <c r="I1600" s="42">
        <v>746.99</v>
      </c>
      <c r="J1600" s="42"/>
      <c r="K1600" s="42"/>
      <c r="L1600" s="42">
        <v>746.99</v>
      </c>
      <c r="N1600" s="42">
        <v>746.99</v>
      </c>
    </row>
    <row r="1601" spans="1:14" x14ac:dyDescent="0.25">
      <c r="A1601" s="1">
        <v>46070</v>
      </c>
      <c r="B1601">
        <v>3</v>
      </c>
      <c r="C1601" t="s">
        <v>541</v>
      </c>
      <c r="D1601" t="s">
        <v>10</v>
      </c>
      <c r="E1601" t="s">
        <v>399</v>
      </c>
      <c r="F1601" t="s">
        <v>12</v>
      </c>
      <c r="G1601" t="s">
        <v>346</v>
      </c>
      <c r="I1601" s="42">
        <v>746.99</v>
      </c>
      <c r="J1601" s="42"/>
      <c r="K1601" s="42"/>
      <c r="L1601" s="42">
        <v>746.99</v>
      </c>
      <c r="N1601" s="42">
        <v>746.99</v>
      </c>
    </row>
    <row r="1602" spans="1:14" x14ac:dyDescent="0.25">
      <c r="A1602" s="1">
        <v>46070</v>
      </c>
      <c r="B1602">
        <v>3</v>
      </c>
      <c r="C1602" t="s">
        <v>541</v>
      </c>
      <c r="D1602" t="s">
        <v>10</v>
      </c>
      <c r="E1602" t="s">
        <v>400</v>
      </c>
      <c r="F1602" t="s">
        <v>158</v>
      </c>
      <c r="G1602" t="s">
        <v>346</v>
      </c>
      <c r="I1602" s="42">
        <v>746.99</v>
      </c>
      <c r="J1602" s="42">
        <v>60</v>
      </c>
      <c r="K1602" s="42"/>
      <c r="L1602" s="42">
        <v>806.99</v>
      </c>
      <c r="N1602" s="42">
        <v>806.99</v>
      </c>
    </row>
    <row r="1603" spans="1:14" x14ac:dyDescent="0.25">
      <c r="A1603" s="1">
        <v>46070</v>
      </c>
      <c r="B1603">
        <v>3</v>
      </c>
      <c r="C1603" t="s">
        <v>541</v>
      </c>
      <c r="D1603" t="s">
        <v>10</v>
      </c>
      <c r="E1603" t="s">
        <v>401</v>
      </c>
      <c r="F1603" t="s">
        <v>55</v>
      </c>
      <c r="G1603" t="s">
        <v>346</v>
      </c>
      <c r="I1603" s="42">
        <v>1001.99</v>
      </c>
      <c r="J1603" s="42"/>
      <c r="K1603" s="42">
        <v>1.99</v>
      </c>
      <c r="L1603" s="42">
        <v>1000</v>
      </c>
      <c r="N1603" s="42">
        <v>1000</v>
      </c>
    </row>
    <row r="1604" spans="1:14" x14ac:dyDescent="0.25">
      <c r="A1604" s="1">
        <v>46070</v>
      </c>
      <c r="B1604">
        <v>3</v>
      </c>
      <c r="C1604" t="s">
        <v>541</v>
      </c>
      <c r="D1604" t="s">
        <v>10</v>
      </c>
      <c r="E1604" t="s">
        <v>402</v>
      </c>
      <c r="F1604" t="s">
        <v>403</v>
      </c>
      <c r="G1604" t="s">
        <v>346</v>
      </c>
      <c r="I1604" s="42">
        <v>746.99</v>
      </c>
      <c r="J1604" s="42">
        <v>0.01</v>
      </c>
      <c r="K1604" s="42"/>
      <c r="L1604" s="42">
        <v>747</v>
      </c>
      <c r="N1604" s="42">
        <v>747</v>
      </c>
    </row>
    <row r="1605" spans="1:14" x14ac:dyDescent="0.25">
      <c r="A1605" s="1">
        <v>46070</v>
      </c>
      <c r="B1605">
        <v>3</v>
      </c>
      <c r="C1605" t="s">
        <v>541</v>
      </c>
      <c r="D1605" t="s">
        <v>10</v>
      </c>
      <c r="E1605" t="s">
        <v>404</v>
      </c>
      <c r="F1605" t="s">
        <v>55</v>
      </c>
      <c r="G1605" t="s">
        <v>346</v>
      </c>
      <c r="I1605" s="42">
        <v>1251.99</v>
      </c>
      <c r="J1605" s="42"/>
      <c r="K1605" s="42"/>
      <c r="L1605" s="42">
        <v>1746.99</v>
      </c>
      <c r="N1605" s="42">
        <v>1251.99</v>
      </c>
    </row>
    <row r="1606" spans="1:14" x14ac:dyDescent="0.25">
      <c r="A1606" s="1">
        <v>46070</v>
      </c>
      <c r="B1606">
        <v>3</v>
      </c>
      <c r="C1606" t="s">
        <v>542</v>
      </c>
      <c r="D1606" t="s">
        <v>10</v>
      </c>
      <c r="E1606" t="s">
        <v>405</v>
      </c>
      <c r="F1606" t="s">
        <v>52</v>
      </c>
      <c r="G1606" t="s">
        <v>346</v>
      </c>
      <c r="I1606" s="42">
        <v>801.99</v>
      </c>
      <c r="J1606" s="42"/>
      <c r="K1606" s="42"/>
      <c r="L1606" s="42">
        <v>801.99</v>
      </c>
      <c r="N1606" s="42">
        <v>801.99</v>
      </c>
    </row>
    <row r="1607" spans="1:14" x14ac:dyDescent="0.25">
      <c r="A1607" s="1">
        <v>46070</v>
      </c>
      <c r="B1607">
        <v>3</v>
      </c>
      <c r="C1607" t="s">
        <v>541</v>
      </c>
      <c r="D1607" t="s">
        <v>10</v>
      </c>
      <c r="E1607" t="s">
        <v>406</v>
      </c>
      <c r="F1607" t="s">
        <v>407</v>
      </c>
      <c r="G1607" t="s">
        <v>346</v>
      </c>
      <c r="I1607" s="42">
        <v>746.99</v>
      </c>
      <c r="J1607" s="42"/>
      <c r="K1607" s="42"/>
      <c r="L1607" s="42">
        <v>746.99</v>
      </c>
      <c r="N1607" s="42">
        <v>746.99</v>
      </c>
    </row>
    <row r="1608" spans="1:14" x14ac:dyDescent="0.25">
      <c r="A1608" s="1">
        <v>46070</v>
      </c>
      <c r="B1608">
        <v>3</v>
      </c>
      <c r="C1608" t="s">
        <v>541</v>
      </c>
      <c r="D1608" t="s">
        <v>10</v>
      </c>
      <c r="E1608" t="s">
        <v>510</v>
      </c>
      <c r="F1608" t="s">
        <v>55</v>
      </c>
      <c r="G1608" t="s">
        <v>346</v>
      </c>
      <c r="I1608" s="42">
        <v>1251.99</v>
      </c>
      <c r="J1608" s="42">
        <v>0.01</v>
      </c>
      <c r="K1608" s="42"/>
      <c r="L1608" s="42">
        <v>1252</v>
      </c>
      <c r="N1608" s="42">
        <v>1252</v>
      </c>
    </row>
    <row r="1609" spans="1:14" x14ac:dyDescent="0.25">
      <c r="A1609" s="1">
        <v>46070</v>
      </c>
      <c r="B1609">
        <v>3</v>
      </c>
      <c r="C1609" t="s">
        <v>541</v>
      </c>
      <c r="D1609" t="s">
        <v>10</v>
      </c>
      <c r="E1609" t="s">
        <v>408</v>
      </c>
      <c r="F1609" t="s">
        <v>52</v>
      </c>
      <c r="G1609" t="s">
        <v>409</v>
      </c>
      <c r="I1609" s="42">
        <v>1251.99</v>
      </c>
      <c r="J1609" s="42">
        <v>60</v>
      </c>
      <c r="K1609" s="42"/>
      <c r="L1609" s="42">
        <v>1311.99</v>
      </c>
      <c r="N1609" s="42">
        <v>1311.99</v>
      </c>
    </row>
    <row r="1610" spans="1:14" x14ac:dyDescent="0.25">
      <c r="A1610" s="1">
        <v>46070</v>
      </c>
      <c r="B1610">
        <v>3</v>
      </c>
      <c r="C1610" t="s">
        <v>541</v>
      </c>
      <c r="D1610" t="s">
        <v>10</v>
      </c>
      <c r="E1610" t="s">
        <v>445</v>
      </c>
      <c r="F1610" t="s">
        <v>52</v>
      </c>
      <c r="G1610" t="s">
        <v>346</v>
      </c>
      <c r="I1610" s="42">
        <v>801.99</v>
      </c>
      <c r="J1610" s="42">
        <v>0.01</v>
      </c>
      <c r="K1610" s="42"/>
      <c r="L1610" s="42">
        <v>802</v>
      </c>
      <c r="N1610" s="42">
        <v>802</v>
      </c>
    </row>
    <row r="1611" spans="1:14" x14ac:dyDescent="0.25">
      <c r="A1611" s="1">
        <v>46070</v>
      </c>
      <c r="B1611">
        <v>3</v>
      </c>
      <c r="C1611" t="s">
        <v>541</v>
      </c>
      <c r="D1611" t="s">
        <v>10</v>
      </c>
      <c r="E1611" t="s">
        <v>503</v>
      </c>
      <c r="F1611" t="s">
        <v>69</v>
      </c>
      <c r="G1611" t="s">
        <v>349</v>
      </c>
      <c r="I1611" s="42">
        <v>746.99</v>
      </c>
      <c r="J1611" s="42">
        <v>30</v>
      </c>
      <c r="K1611" s="42"/>
      <c r="L1611" s="42">
        <v>776.99</v>
      </c>
      <c r="N1611" s="42">
        <v>776.99</v>
      </c>
    </row>
    <row r="1612" spans="1:14" x14ac:dyDescent="0.25">
      <c r="A1612" s="1">
        <v>46070</v>
      </c>
      <c r="B1612">
        <v>3</v>
      </c>
      <c r="C1612" t="s">
        <v>541</v>
      </c>
      <c r="D1612" t="s">
        <v>10</v>
      </c>
      <c r="E1612" t="s">
        <v>413</v>
      </c>
      <c r="F1612" t="s">
        <v>211</v>
      </c>
      <c r="G1612" t="s">
        <v>414</v>
      </c>
      <c r="I1612" s="42">
        <v>931.99</v>
      </c>
      <c r="J1612" s="42">
        <v>60.01</v>
      </c>
      <c r="K1612" s="42"/>
      <c r="L1612" s="42">
        <v>992</v>
      </c>
      <c r="M1612" s="37">
        <v>199.49</v>
      </c>
      <c r="N1612" s="42">
        <v>992</v>
      </c>
    </row>
    <row r="1613" spans="1:14" x14ac:dyDescent="0.25">
      <c r="A1613" s="1">
        <v>46070</v>
      </c>
      <c r="B1613">
        <v>3</v>
      </c>
      <c r="C1613" t="s">
        <v>541</v>
      </c>
      <c r="D1613" t="s">
        <v>10</v>
      </c>
      <c r="E1613" t="s">
        <v>415</v>
      </c>
      <c r="F1613" t="s">
        <v>416</v>
      </c>
      <c r="G1613" t="s">
        <v>370</v>
      </c>
      <c r="I1613" s="42">
        <v>801.99</v>
      </c>
      <c r="J1613" s="42">
        <v>0.01</v>
      </c>
      <c r="K1613" s="42"/>
      <c r="L1613" s="42">
        <v>802</v>
      </c>
      <c r="N1613" s="42">
        <v>802</v>
      </c>
    </row>
    <row r="1614" spans="1:14" x14ac:dyDescent="0.25">
      <c r="A1614" s="1">
        <v>46070</v>
      </c>
      <c r="B1614">
        <v>3</v>
      </c>
      <c r="C1614" t="s">
        <v>541</v>
      </c>
      <c r="D1614" t="s">
        <v>10</v>
      </c>
      <c r="E1614" t="s">
        <v>384</v>
      </c>
      <c r="F1614" t="s">
        <v>385</v>
      </c>
      <c r="G1614" t="s">
        <v>349</v>
      </c>
      <c r="I1614" s="42">
        <v>746.99</v>
      </c>
      <c r="J1614" s="42">
        <v>1.01</v>
      </c>
      <c r="K1614" s="42"/>
      <c r="L1614" s="42">
        <v>748</v>
      </c>
      <c r="N1614" s="42">
        <v>746.99</v>
      </c>
    </row>
    <row r="1615" spans="1:14" x14ac:dyDescent="0.25">
      <c r="A1615" s="1">
        <v>46070</v>
      </c>
      <c r="B1615">
        <v>3</v>
      </c>
      <c r="C1615" t="s">
        <v>541</v>
      </c>
      <c r="D1615" t="s">
        <v>10</v>
      </c>
      <c r="E1615" t="s">
        <v>459</v>
      </c>
      <c r="F1615" t="s">
        <v>426</v>
      </c>
      <c r="G1615" t="s">
        <v>363</v>
      </c>
      <c r="I1615" s="42">
        <v>746.99</v>
      </c>
      <c r="J1615" s="42"/>
      <c r="K1615" s="42"/>
      <c r="L1615" s="42">
        <v>746.99</v>
      </c>
      <c r="N1615" s="42">
        <v>746.99</v>
      </c>
    </row>
    <row r="1616" spans="1:14" x14ac:dyDescent="0.25">
      <c r="A1616" s="1">
        <v>46070</v>
      </c>
      <c r="B1616">
        <v>3</v>
      </c>
      <c r="C1616" t="s">
        <v>541</v>
      </c>
      <c r="D1616" t="s">
        <v>10</v>
      </c>
      <c r="E1616" t="s">
        <v>482</v>
      </c>
      <c r="F1616" t="s">
        <v>158</v>
      </c>
      <c r="G1616" t="s">
        <v>346</v>
      </c>
      <c r="I1616" s="42">
        <v>746.99</v>
      </c>
      <c r="J1616" s="42"/>
      <c r="K1616" s="42"/>
      <c r="L1616" s="42">
        <v>746.99</v>
      </c>
      <c r="N1616" s="42">
        <v>746.99</v>
      </c>
    </row>
    <row r="1617" spans="1:14" x14ac:dyDescent="0.25">
      <c r="A1617" s="1">
        <v>46070</v>
      </c>
      <c r="B1617">
        <v>3</v>
      </c>
      <c r="C1617" t="s">
        <v>541</v>
      </c>
      <c r="D1617" t="s">
        <v>10</v>
      </c>
      <c r="E1617" t="s">
        <v>319</v>
      </c>
      <c r="F1617" t="s">
        <v>158</v>
      </c>
      <c r="G1617" t="s">
        <v>346</v>
      </c>
      <c r="I1617" s="42">
        <v>746.99</v>
      </c>
      <c r="J1617" s="42"/>
      <c r="K1617" s="42"/>
      <c r="L1617" s="42">
        <v>746.99</v>
      </c>
      <c r="N1617" s="42">
        <v>746.99</v>
      </c>
    </row>
    <row r="1618" spans="1:14" x14ac:dyDescent="0.25">
      <c r="A1618" s="1">
        <v>46070</v>
      </c>
      <c r="B1618">
        <v>3</v>
      </c>
      <c r="C1618" t="s">
        <v>541</v>
      </c>
      <c r="D1618" t="s">
        <v>10</v>
      </c>
      <c r="E1618" t="s">
        <v>529</v>
      </c>
      <c r="F1618" t="s">
        <v>55</v>
      </c>
      <c r="G1618" t="s">
        <v>346</v>
      </c>
      <c r="I1618" s="42">
        <v>746.99</v>
      </c>
      <c r="J1618" s="42"/>
      <c r="K1618" s="42"/>
      <c r="L1618" s="42">
        <v>746.99</v>
      </c>
      <c r="N1618" s="42">
        <v>746.99</v>
      </c>
    </row>
    <row r="1619" spans="1:14" x14ac:dyDescent="0.25">
      <c r="A1619" s="1">
        <v>46070</v>
      </c>
      <c r="B1619">
        <v>3</v>
      </c>
      <c r="C1619" t="s">
        <v>541</v>
      </c>
      <c r="D1619" t="s">
        <v>10</v>
      </c>
      <c r="E1619" t="s">
        <v>532</v>
      </c>
      <c r="F1619" t="s">
        <v>55</v>
      </c>
      <c r="G1619" t="s">
        <v>346</v>
      </c>
      <c r="I1619" s="42">
        <v>981.99</v>
      </c>
      <c r="J1619" s="42"/>
      <c r="K1619" s="42"/>
      <c r="L1619" s="42">
        <v>981.99</v>
      </c>
      <c r="N1619" s="42">
        <v>981.99</v>
      </c>
    </row>
    <row r="1620" spans="1:14" x14ac:dyDescent="0.25">
      <c r="A1620" s="1">
        <v>46070</v>
      </c>
      <c r="B1620">
        <v>3</v>
      </c>
      <c r="C1620" t="s">
        <v>541</v>
      </c>
      <c r="D1620" t="s">
        <v>10</v>
      </c>
      <c r="E1620" t="s">
        <v>382</v>
      </c>
      <c r="F1620" t="s">
        <v>383</v>
      </c>
      <c r="G1620" t="s">
        <v>349</v>
      </c>
      <c r="I1620" s="42">
        <v>746.99</v>
      </c>
      <c r="J1620" s="42"/>
      <c r="K1620" s="42"/>
      <c r="L1620" s="42">
        <v>746.99</v>
      </c>
      <c r="N1620" s="42"/>
    </row>
    <row r="1621" spans="1:14" x14ac:dyDescent="0.25">
      <c r="A1621" s="1">
        <v>46070</v>
      </c>
      <c r="B1621">
        <v>3</v>
      </c>
      <c r="C1621" t="s">
        <v>542</v>
      </c>
      <c r="D1621" t="s">
        <v>99</v>
      </c>
      <c r="E1621" t="s">
        <v>436</v>
      </c>
      <c r="F1621" t="s">
        <v>116</v>
      </c>
      <c r="G1621" t="s">
        <v>346</v>
      </c>
      <c r="I1621" s="42">
        <v>746.99</v>
      </c>
      <c r="J1621" s="42"/>
      <c r="K1621" s="42">
        <v>425.72</v>
      </c>
      <c r="L1621" s="42">
        <v>321.27</v>
      </c>
      <c r="N1621" s="42">
        <v>321.27</v>
      </c>
    </row>
    <row r="1622" spans="1:14" x14ac:dyDescent="0.25">
      <c r="A1622" s="1">
        <v>46070</v>
      </c>
      <c r="B1622">
        <v>3</v>
      </c>
      <c r="C1622" t="s">
        <v>541</v>
      </c>
      <c r="D1622" t="s">
        <v>10</v>
      </c>
      <c r="E1622" t="s">
        <v>419</v>
      </c>
      <c r="F1622" t="s">
        <v>94</v>
      </c>
      <c r="G1622" t="s">
        <v>420</v>
      </c>
      <c r="I1622" s="42">
        <v>851.99</v>
      </c>
      <c r="J1622" s="42"/>
      <c r="K1622" s="42"/>
      <c r="L1622" s="42">
        <v>851.99</v>
      </c>
      <c r="N1622" s="42">
        <v>851.99</v>
      </c>
    </row>
    <row r="1623" spans="1:14" x14ac:dyDescent="0.25">
      <c r="A1623" s="1">
        <v>46070</v>
      </c>
      <c r="B1623">
        <v>3</v>
      </c>
      <c r="C1623" t="s">
        <v>541</v>
      </c>
      <c r="D1623" t="s">
        <v>10</v>
      </c>
      <c r="E1623" t="s">
        <v>418</v>
      </c>
      <c r="F1623" t="s">
        <v>33</v>
      </c>
      <c r="G1623" t="s">
        <v>346</v>
      </c>
      <c r="I1623" s="42">
        <v>746.99</v>
      </c>
      <c r="J1623" s="42">
        <v>30</v>
      </c>
      <c r="K1623" s="42"/>
      <c r="L1623" s="42">
        <v>776.99</v>
      </c>
      <c r="N1623" s="42">
        <v>776.99</v>
      </c>
    </row>
    <row r="1624" spans="1:14" x14ac:dyDescent="0.25">
      <c r="A1624" s="1">
        <v>46070</v>
      </c>
      <c r="B1624">
        <v>3</v>
      </c>
      <c r="C1624" t="s">
        <v>541</v>
      </c>
      <c r="D1624" t="s">
        <v>10</v>
      </c>
      <c r="E1624" t="s">
        <v>501</v>
      </c>
      <c r="F1624" t="s">
        <v>12</v>
      </c>
      <c r="G1624" t="s">
        <v>346</v>
      </c>
      <c r="I1624" s="42">
        <v>881.99</v>
      </c>
      <c r="J1624" s="42"/>
      <c r="K1624" s="42"/>
      <c r="L1624" s="42">
        <v>881.99</v>
      </c>
      <c r="N1624" s="42">
        <v>881.99</v>
      </c>
    </row>
    <row r="1625" spans="1:14" x14ac:dyDescent="0.25">
      <c r="A1625" s="1">
        <v>46070</v>
      </c>
      <c r="B1625">
        <v>3</v>
      </c>
      <c r="C1625" t="s">
        <v>541</v>
      </c>
      <c r="D1625" t="s">
        <v>10</v>
      </c>
      <c r="E1625" t="s">
        <v>425</v>
      </c>
      <c r="F1625" t="s">
        <v>426</v>
      </c>
      <c r="G1625" t="s">
        <v>349</v>
      </c>
      <c r="I1625" s="42">
        <v>746.99</v>
      </c>
      <c r="J1625" s="42"/>
      <c r="K1625" s="42"/>
      <c r="L1625" s="42">
        <v>1241.99</v>
      </c>
      <c r="N1625" s="42">
        <v>746.99</v>
      </c>
    </row>
    <row r="1626" spans="1:14" x14ac:dyDescent="0.25">
      <c r="A1626" s="1">
        <v>46070</v>
      </c>
      <c r="B1626">
        <v>3</v>
      </c>
      <c r="C1626" t="s">
        <v>541</v>
      </c>
      <c r="D1626" t="s">
        <v>10</v>
      </c>
      <c r="E1626" t="s">
        <v>427</v>
      </c>
      <c r="F1626" t="s">
        <v>116</v>
      </c>
      <c r="G1626" t="s">
        <v>363</v>
      </c>
      <c r="I1626" s="42">
        <v>746.99</v>
      </c>
      <c r="J1626" s="42"/>
      <c r="K1626" s="42">
        <v>1.99</v>
      </c>
      <c r="L1626" s="42">
        <v>745</v>
      </c>
      <c r="M1626" s="37">
        <v>101.89</v>
      </c>
      <c r="N1626" s="42">
        <v>745</v>
      </c>
    </row>
    <row r="1627" spans="1:14" x14ac:dyDescent="0.25">
      <c r="A1627" s="1">
        <v>46070</v>
      </c>
      <c r="B1627">
        <v>3</v>
      </c>
      <c r="C1627" t="s">
        <v>541</v>
      </c>
      <c r="D1627" t="s">
        <v>10</v>
      </c>
      <c r="E1627" t="s">
        <v>428</v>
      </c>
      <c r="F1627" t="s">
        <v>69</v>
      </c>
      <c r="G1627" t="s">
        <v>378</v>
      </c>
      <c r="I1627" s="42">
        <v>746.99</v>
      </c>
      <c r="J1627" s="42"/>
      <c r="K1627" s="42"/>
      <c r="L1627" s="42">
        <v>746.99</v>
      </c>
      <c r="N1627" s="42">
        <v>746.99</v>
      </c>
    </row>
    <row r="1628" spans="1:14" x14ac:dyDescent="0.25">
      <c r="A1628" s="1">
        <v>46070</v>
      </c>
      <c r="B1628">
        <v>3</v>
      </c>
      <c r="C1628" t="s">
        <v>541</v>
      </c>
      <c r="D1628" t="s">
        <v>10</v>
      </c>
      <c r="E1628" t="s">
        <v>525</v>
      </c>
      <c r="F1628" t="s">
        <v>158</v>
      </c>
      <c r="G1628" t="s">
        <v>346</v>
      </c>
      <c r="I1628" s="42">
        <v>746.99</v>
      </c>
      <c r="J1628" s="42">
        <v>0.01</v>
      </c>
      <c r="K1628" s="42"/>
      <c r="L1628" s="42">
        <v>747</v>
      </c>
      <c r="N1628" s="42">
        <v>747</v>
      </c>
    </row>
    <row r="1629" spans="1:14" x14ac:dyDescent="0.25">
      <c r="A1629" s="1">
        <v>46070</v>
      </c>
      <c r="B1629">
        <v>3</v>
      </c>
      <c r="C1629" t="s">
        <v>541</v>
      </c>
      <c r="D1629" t="s">
        <v>10</v>
      </c>
      <c r="E1629" t="s">
        <v>424</v>
      </c>
      <c r="F1629" t="s">
        <v>12</v>
      </c>
      <c r="G1629" t="s">
        <v>346</v>
      </c>
      <c r="I1629" s="42">
        <v>746.99</v>
      </c>
      <c r="J1629" s="42"/>
      <c r="K1629" s="42">
        <v>1.99</v>
      </c>
      <c r="L1629" s="42">
        <v>745</v>
      </c>
      <c r="N1629" s="42">
        <v>745</v>
      </c>
    </row>
    <row r="1630" spans="1:14" x14ac:dyDescent="0.25">
      <c r="A1630" s="1">
        <v>46070</v>
      </c>
      <c r="B1630">
        <v>3</v>
      </c>
      <c r="C1630" t="s">
        <v>541</v>
      </c>
      <c r="D1630" t="s">
        <v>10</v>
      </c>
      <c r="E1630" t="s">
        <v>431</v>
      </c>
      <c r="F1630" t="s">
        <v>158</v>
      </c>
      <c r="G1630" t="s">
        <v>346</v>
      </c>
      <c r="I1630" s="42">
        <v>746.99</v>
      </c>
      <c r="J1630" s="42">
        <v>30</v>
      </c>
      <c r="K1630" s="42"/>
      <c r="L1630" s="42">
        <v>776.99</v>
      </c>
      <c r="N1630" s="42">
        <v>776.99</v>
      </c>
    </row>
    <row r="1631" spans="1:14" x14ac:dyDescent="0.25">
      <c r="A1631" s="1">
        <v>46070</v>
      </c>
      <c r="B1631">
        <v>3</v>
      </c>
      <c r="C1631" t="s">
        <v>541</v>
      </c>
      <c r="D1631" t="s">
        <v>10</v>
      </c>
      <c r="E1631" t="s">
        <v>430</v>
      </c>
      <c r="F1631" t="s">
        <v>158</v>
      </c>
      <c r="G1631" t="s">
        <v>346</v>
      </c>
      <c r="I1631" s="42">
        <v>746.99</v>
      </c>
      <c r="J1631" s="42">
        <v>30.01</v>
      </c>
      <c r="K1631" s="42"/>
      <c r="L1631" s="42">
        <v>777</v>
      </c>
      <c r="N1631" s="42">
        <v>777</v>
      </c>
    </row>
    <row r="1632" spans="1:14" x14ac:dyDescent="0.25">
      <c r="A1632" s="1">
        <v>46070</v>
      </c>
      <c r="B1632">
        <v>3</v>
      </c>
      <c r="C1632" t="s">
        <v>541</v>
      </c>
      <c r="D1632" t="s">
        <v>10</v>
      </c>
      <c r="E1632" t="s">
        <v>432</v>
      </c>
      <c r="F1632" t="s">
        <v>55</v>
      </c>
      <c r="G1632" t="s">
        <v>433</v>
      </c>
      <c r="I1632" s="42">
        <v>746.99</v>
      </c>
      <c r="J1632" s="42">
        <v>120</v>
      </c>
      <c r="K1632" s="42"/>
      <c r="L1632" s="42">
        <v>866.99</v>
      </c>
      <c r="N1632" s="42">
        <v>866.99</v>
      </c>
    </row>
    <row r="1633" spans="1:14" x14ac:dyDescent="0.25">
      <c r="A1633" s="1">
        <v>46070</v>
      </c>
      <c r="B1633">
        <v>3</v>
      </c>
      <c r="C1633" t="s">
        <v>541</v>
      </c>
      <c r="D1633" t="s">
        <v>10</v>
      </c>
      <c r="E1633" t="s">
        <v>434</v>
      </c>
      <c r="F1633" t="s">
        <v>55</v>
      </c>
      <c r="G1633" t="s">
        <v>346</v>
      </c>
      <c r="I1633" s="42">
        <v>746.99</v>
      </c>
      <c r="J1633" s="42"/>
      <c r="K1633" s="42">
        <v>1.99</v>
      </c>
      <c r="L1633" s="42">
        <v>745</v>
      </c>
      <c r="N1633" s="42">
        <v>745</v>
      </c>
    </row>
    <row r="1634" spans="1:14" x14ac:dyDescent="0.25">
      <c r="A1634" s="1">
        <v>46070</v>
      </c>
      <c r="B1634">
        <v>3</v>
      </c>
      <c r="C1634" t="s">
        <v>541</v>
      </c>
      <c r="D1634" t="s">
        <v>10</v>
      </c>
      <c r="E1634" t="s">
        <v>437</v>
      </c>
      <c r="F1634" t="s">
        <v>12</v>
      </c>
      <c r="G1634" t="s">
        <v>346</v>
      </c>
      <c r="I1634" s="42">
        <v>746.99</v>
      </c>
      <c r="J1634" s="42">
        <v>60</v>
      </c>
      <c r="K1634" s="42"/>
      <c r="L1634" s="42">
        <v>806.99</v>
      </c>
      <c r="N1634" s="42">
        <v>806.99</v>
      </c>
    </row>
    <row r="1635" spans="1:14" x14ac:dyDescent="0.25">
      <c r="A1635" s="1">
        <v>46070</v>
      </c>
      <c r="B1635">
        <v>3</v>
      </c>
      <c r="C1635" t="s">
        <v>541</v>
      </c>
      <c r="D1635" t="s">
        <v>10</v>
      </c>
      <c r="E1635" t="s">
        <v>435</v>
      </c>
      <c r="F1635" t="s">
        <v>41</v>
      </c>
      <c r="G1635" t="s">
        <v>398</v>
      </c>
      <c r="I1635" s="42">
        <v>1251.99</v>
      </c>
      <c r="J1635" s="42">
        <v>30</v>
      </c>
      <c r="K1635" s="42"/>
      <c r="L1635" s="42">
        <v>1281.99</v>
      </c>
      <c r="N1635" s="42">
        <v>1281.99</v>
      </c>
    </row>
    <row r="1636" spans="1:14" x14ac:dyDescent="0.25">
      <c r="A1636" s="1">
        <v>46070</v>
      </c>
      <c r="B1636">
        <v>3</v>
      </c>
      <c r="C1636" t="s">
        <v>541</v>
      </c>
      <c r="D1636" t="s">
        <v>10</v>
      </c>
      <c r="E1636" t="s">
        <v>438</v>
      </c>
      <c r="F1636" t="s">
        <v>52</v>
      </c>
      <c r="G1636" t="s">
        <v>359</v>
      </c>
      <c r="I1636" s="42">
        <v>1251.99</v>
      </c>
      <c r="J1636" s="42"/>
      <c r="K1636" s="42"/>
      <c r="L1636" s="42">
        <v>1350</v>
      </c>
      <c r="M1636" s="37">
        <v>222.3</v>
      </c>
      <c r="N1636" s="42">
        <v>1251.99</v>
      </c>
    </row>
    <row r="1637" spans="1:14" x14ac:dyDescent="0.25">
      <c r="A1637" s="1">
        <v>46070</v>
      </c>
      <c r="B1637">
        <v>3</v>
      </c>
      <c r="C1637" t="s">
        <v>541</v>
      </c>
      <c r="D1637" t="s">
        <v>10</v>
      </c>
      <c r="E1637" t="s">
        <v>440</v>
      </c>
      <c r="F1637" t="s">
        <v>411</v>
      </c>
      <c r="G1637" t="s">
        <v>346</v>
      </c>
      <c r="I1637" s="42">
        <v>1251.99</v>
      </c>
      <c r="J1637" s="42"/>
      <c r="K1637" s="42">
        <v>1.99</v>
      </c>
      <c r="L1637" s="42">
        <v>1250</v>
      </c>
      <c r="N1637" s="42">
        <v>1250</v>
      </c>
    </row>
    <row r="1638" spans="1:14" x14ac:dyDescent="0.25">
      <c r="A1638" s="1">
        <v>46070</v>
      </c>
      <c r="B1638">
        <v>3</v>
      </c>
      <c r="C1638" t="s">
        <v>541</v>
      </c>
      <c r="D1638" t="s">
        <v>10</v>
      </c>
      <c r="E1638" t="s">
        <v>442</v>
      </c>
      <c r="F1638" t="s">
        <v>52</v>
      </c>
      <c r="G1638" t="s">
        <v>346</v>
      </c>
      <c r="I1638" s="42">
        <v>1251.99</v>
      </c>
      <c r="J1638" s="42"/>
      <c r="K1638" s="42">
        <v>1.99</v>
      </c>
      <c r="L1638" s="42">
        <v>1250</v>
      </c>
      <c r="N1638" s="42">
        <v>1250</v>
      </c>
    </row>
    <row r="1639" spans="1:14" x14ac:dyDescent="0.25">
      <c r="A1639" s="1">
        <v>46070</v>
      </c>
      <c r="B1639">
        <v>3</v>
      </c>
      <c r="C1639" t="s">
        <v>541</v>
      </c>
      <c r="D1639" t="s">
        <v>10</v>
      </c>
      <c r="E1639" t="s">
        <v>441</v>
      </c>
      <c r="F1639" t="s">
        <v>52</v>
      </c>
      <c r="G1639" t="s">
        <v>346</v>
      </c>
      <c r="I1639" s="42">
        <v>1251.99</v>
      </c>
      <c r="J1639" s="42">
        <v>90</v>
      </c>
      <c r="K1639" s="42"/>
      <c r="L1639" s="42">
        <v>1341.99</v>
      </c>
      <c r="N1639" s="42">
        <v>1341.99</v>
      </c>
    </row>
    <row r="1640" spans="1:14" x14ac:dyDescent="0.25">
      <c r="A1640" s="1">
        <v>46070</v>
      </c>
      <c r="B1640">
        <v>3</v>
      </c>
      <c r="C1640" t="s">
        <v>541</v>
      </c>
      <c r="D1640" t="s">
        <v>10</v>
      </c>
      <c r="E1640" t="s">
        <v>443</v>
      </c>
      <c r="F1640" t="s">
        <v>52</v>
      </c>
      <c r="G1640" t="s">
        <v>346</v>
      </c>
      <c r="I1640" s="42">
        <v>1251.99</v>
      </c>
      <c r="J1640" s="42">
        <v>28.01</v>
      </c>
      <c r="K1640" s="42"/>
      <c r="L1640" s="42">
        <v>1280</v>
      </c>
      <c r="N1640" s="42">
        <v>1280</v>
      </c>
    </row>
    <row r="1641" spans="1:14" x14ac:dyDescent="0.25">
      <c r="A1641" s="1">
        <v>46070</v>
      </c>
      <c r="B1641">
        <v>3</v>
      </c>
      <c r="C1641" t="s">
        <v>541</v>
      </c>
      <c r="D1641" t="s">
        <v>10</v>
      </c>
      <c r="E1641" t="s">
        <v>444</v>
      </c>
      <c r="F1641" t="s">
        <v>52</v>
      </c>
      <c r="G1641" t="s">
        <v>409</v>
      </c>
      <c r="I1641" s="42">
        <v>851.99</v>
      </c>
      <c r="J1641" s="42"/>
      <c r="K1641" s="42"/>
      <c r="L1641" s="42">
        <v>851.99</v>
      </c>
      <c r="N1641" s="42">
        <v>851.99</v>
      </c>
    </row>
    <row r="1642" spans="1:14" x14ac:dyDescent="0.25">
      <c r="A1642" s="1">
        <v>46070</v>
      </c>
      <c r="B1642">
        <v>3</v>
      </c>
      <c r="C1642" t="s">
        <v>541</v>
      </c>
      <c r="D1642" t="s">
        <v>10</v>
      </c>
      <c r="E1642" t="s">
        <v>446</v>
      </c>
      <c r="F1642" t="s">
        <v>447</v>
      </c>
      <c r="G1642" t="s">
        <v>349</v>
      </c>
      <c r="I1642" s="42">
        <v>801.99</v>
      </c>
      <c r="J1642" s="42">
        <v>30.01</v>
      </c>
      <c r="K1642" s="42"/>
      <c r="L1642" s="42">
        <v>832</v>
      </c>
      <c r="N1642" s="42">
        <v>832</v>
      </c>
    </row>
    <row r="1643" spans="1:14" x14ac:dyDescent="0.25">
      <c r="A1643" s="1">
        <v>46070</v>
      </c>
      <c r="B1643">
        <v>3</v>
      </c>
      <c r="C1643" t="s">
        <v>541</v>
      </c>
      <c r="D1643" t="s">
        <v>10</v>
      </c>
      <c r="E1643" t="s">
        <v>448</v>
      </c>
      <c r="F1643" t="s">
        <v>255</v>
      </c>
      <c r="G1643" t="s">
        <v>409</v>
      </c>
      <c r="I1643" s="42">
        <v>746.99</v>
      </c>
      <c r="J1643" s="42"/>
      <c r="K1643" s="42"/>
      <c r="L1643" s="42">
        <v>746.99</v>
      </c>
      <c r="N1643" s="42">
        <v>746.99</v>
      </c>
    </row>
    <row r="1644" spans="1:14" x14ac:dyDescent="0.25">
      <c r="A1644" s="1">
        <v>46070</v>
      </c>
      <c r="B1644">
        <v>3</v>
      </c>
      <c r="C1644" t="s">
        <v>541</v>
      </c>
      <c r="D1644" t="s">
        <v>10</v>
      </c>
      <c r="E1644" t="s">
        <v>506</v>
      </c>
      <c r="F1644" t="s">
        <v>158</v>
      </c>
      <c r="G1644" t="s">
        <v>346</v>
      </c>
      <c r="I1644" s="42">
        <v>746.99</v>
      </c>
      <c r="J1644" s="42"/>
      <c r="K1644" s="42"/>
      <c r="L1644" s="42">
        <v>746.99</v>
      </c>
      <c r="N1644" s="42">
        <v>746.99</v>
      </c>
    </row>
    <row r="1645" spans="1:14" x14ac:dyDescent="0.25">
      <c r="A1645" s="1">
        <v>46070</v>
      </c>
      <c r="B1645">
        <v>3</v>
      </c>
      <c r="C1645" t="s">
        <v>541</v>
      </c>
      <c r="D1645" t="s">
        <v>10</v>
      </c>
      <c r="E1645" t="s">
        <v>526</v>
      </c>
      <c r="F1645" t="s">
        <v>158</v>
      </c>
      <c r="G1645" t="s">
        <v>346</v>
      </c>
      <c r="I1645" s="42">
        <v>746.99</v>
      </c>
      <c r="J1645" s="42">
        <v>0.01</v>
      </c>
      <c r="K1645" s="42"/>
      <c r="L1645" s="42">
        <v>747</v>
      </c>
      <c r="N1645" s="42">
        <v>747</v>
      </c>
    </row>
    <row r="1646" spans="1:14" x14ac:dyDescent="0.25">
      <c r="A1646" s="1">
        <v>46070</v>
      </c>
      <c r="B1646">
        <v>3</v>
      </c>
      <c r="C1646" t="s">
        <v>541</v>
      </c>
      <c r="D1646" t="s">
        <v>10</v>
      </c>
      <c r="E1646" t="s">
        <v>324</v>
      </c>
      <c r="F1646" t="s">
        <v>158</v>
      </c>
      <c r="G1646" t="s">
        <v>346</v>
      </c>
      <c r="I1646" s="42">
        <v>1001.99</v>
      </c>
      <c r="J1646" s="42"/>
      <c r="K1646" s="42">
        <v>200</v>
      </c>
      <c r="L1646" s="42">
        <v>801.99</v>
      </c>
      <c r="N1646" s="42">
        <v>801.99</v>
      </c>
    </row>
    <row r="1647" spans="1:14" x14ac:dyDescent="0.25">
      <c r="A1647" s="1">
        <v>46070</v>
      </c>
      <c r="B1647">
        <v>3</v>
      </c>
      <c r="C1647" t="s">
        <v>541</v>
      </c>
      <c r="D1647" t="s">
        <v>10</v>
      </c>
      <c r="E1647" t="s">
        <v>507</v>
      </c>
      <c r="F1647" t="s">
        <v>403</v>
      </c>
      <c r="G1647" t="s">
        <v>346</v>
      </c>
      <c r="I1647" s="42">
        <v>746.99</v>
      </c>
      <c r="J1647" s="42"/>
      <c r="K1647" s="42"/>
      <c r="L1647" s="42">
        <v>746.99</v>
      </c>
      <c r="N1647" s="42"/>
    </row>
    <row r="1648" spans="1:14" x14ac:dyDescent="0.25">
      <c r="A1648" s="1">
        <v>46070</v>
      </c>
      <c r="B1648">
        <v>3</v>
      </c>
      <c r="C1648" t="s">
        <v>541</v>
      </c>
      <c r="D1648" t="s">
        <v>10</v>
      </c>
      <c r="E1648" t="s">
        <v>531</v>
      </c>
      <c r="F1648" t="s">
        <v>158</v>
      </c>
      <c r="G1648" t="s">
        <v>346</v>
      </c>
      <c r="I1648" s="42">
        <v>801.99</v>
      </c>
      <c r="J1648" s="42">
        <v>30</v>
      </c>
      <c r="K1648" s="42"/>
      <c r="L1648" s="42">
        <v>831.99</v>
      </c>
      <c r="N1648" s="42">
        <v>831.99</v>
      </c>
    </row>
    <row r="1649" spans="1:14" x14ac:dyDescent="0.25">
      <c r="A1649" s="1">
        <v>46070</v>
      </c>
      <c r="B1649">
        <v>3</v>
      </c>
      <c r="C1649" t="s">
        <v>541</v>
      </c>
      <c r="D1649" t="s">
        <v>10</v>
      </c>
      <c r="E1649" t="s">
        <v>538</v>
      </c>
      <c r="F1649" t="s">
        <v>178</v>
      </c>
      <c r="G1649" t="s">
        <v>409</v>
      </c>
      <c r="I1649" s="42">
        <v>746.99</v>
      </c>
      <c r="J1649" s="42"/>
      <c r="K1649" s="42"/>
      <c r="L1649" s="42">
        <v>746.99</v>
      </c>
      <c r="N1649" s="42"/>
    </row>
    <row r="1650" spans="1:14" x14ac:dyDescent="0.25">
      <c r="A1650" s="1">
        <v>46070</v>
      </c>
      <c r="B1650">
        <v>3</v>
      </c>
      <c r="C1650" t="s">
        <v>542</v>
      </c>
      <c r="D1650" t="s">
        <v>99</v>
      </c>
      <c r="E1650" t="s">
        <v>395</v>
      </c>
      <c r="F1650" t="s">
        <v>116</v>
      </c>
      <c r="G1650" t="s">
        <v>346</v>
      </c>
      <c r="I1650" s="42">
        <v>1001.99</v>
      </c>
      <c r="J1650" s="42"/>
      <c r="K1650" s="42"/>
      <c r="L1650" s="42">
        <v>1496.99</v>
      </c>
      <c r="N1650" s="42">
        <v>1001.99</v>
      </c>
    </row>
    <row r="1651" spans="1:14" x14ac:dyDescent="0.25">
      <c r="A1651" s="1">
        <v>46070</v>
      </c>
      <c r="B1651">
        <v>3</v>
      </c>
      <c r="C1651" t="s">
        <v>541</v>
      </c>
      <c r="D1651" t="s">
        <v>10</v>
      </c>
      <c r="E1651" t="s">
        <v>412</v>
      </c>
      <c r="F1651" t="s">
        <v>403</v>
      </c>
      <c r="G1651" t="s">
        <v>346</v>
      </c>
      <c r="I1651" s="42">
        <v>746.99</v>
      </c>
      <c r="J1651" s="42">
        <v>3</v>
      </c>
      <c r="K1651" s="42"/>
      <c r="L1651" s="42">
        <v>749.99</v>
      </c>
      <c r="N1651" s="42">
        <v>749.99</v>
      </c>
    </row>
    <row r="1652" spans="1:14" x14ac:dyDescent="0.25">
      <c r="A1652" s="1">
        <v>46070</v>
      </c>
      <c r="B1652">
        <v>3</v>
      </c>
      <c r="C1652" t="s">
        <v>541</v>
      </c>
      <c r="D1652" t="s">
        <v>10</v>
      </c>
      <c r="E1652" t="s">
        <v>423</v>
      </c>
      <c r="F1652" t="s">
        <v>12</v>
      </c>
      <c r="G1652" t="s">
        <v>346</v>
      </c>
      <c r="I1652" s="42">
        <v>746.99</v>
      </c>
      <c r="J1652" s="42"/>
      <c r="K1652" s="42"/>
      <c r="L1652" s="42">
        <v>746.99</v>
      </c>
      <c r="N1652" s="42"/>
    </row>
    <row r="1653" spans="1:14" x14ac:dyDescent="0.25">
      <c r="A1653" s="1">
        <v>46070</v>
      </c>
      <c r="B1653">
        <v>3</v>
      </c>
      <c r="C1653" t="s">
        <v>542</v>
      </c>
      <c r="D1653" t="s">
        <v>99</v>
      </c>
      <c r="E1653" t="s">
        <v>519</v>
      </c>
      <c r="F1653" t="s">
        <v>520</v>
      </c>
      <c r="G1653" t="s">
        <v>349</v>
      </c>
      <c r="I1653" s="42">
        <v>746.99</v>
      </c>
      <c r="J1653" s="42"/>
      <c r="K1653" s="42"/>
      <c r="L1653" s="42">
        <v>746.99</v>
      </c>
      <c r="N1653" s="42"/>
    </row>
    <row r="1654" spans="1:14" x14ac:dyDescent="0.25">
      <c r="A1654" s="1">
        <v>46070</v>
      </c>
      <c r="B1654">
        <v>3</v>
      </c>
      <c r="C1654" t="s">
        <v>541</v>
      </c>
      <c r="D1654" t="s">
        <v>10</v>
      </c>
      <c r="E1654" t="s">
        <v>429</v>
      </c>
      <c r="F1654" t="s">
        <v>158</v>
      </c>
      <c r="G1654" t="s">
        <v>346</v>
      </c>
      <c r="I1654" s="42">
        <v>1251.99</v>
      </c>
      <c r="J1654" s="42">
        <v>33</v>
      </c>
      <c r="K1654" s="42"/>
      <c r="L1654" s="42">
        <v>1284.99</v>
      </c>
      <c r="N1654" s="42">
        <v>1284.99</v>
      </c>
    </row>
    <row r="1655" spans="1:14" x14ac:dyDescent="0.25">
      <c r="A1655" s="1">
        <v>46070</v>
      </c>
      <c r="B1655">
        <v>3</v>
      </c>
      <c r="C1655" t="s">
        <v>541</v>
      </c>
      <c r="D1655" t="s">
        <v>10</v>
      </c>
      <c r="E1655" t="s">
        <v>439</v>
      </c>
      <c r="F1655" t="s">
        <v>52</v>
      </c>
      <c r="G1655" t="s">
        <v>346</v>
      </c>
      <c r="I1655" s="42">
        <v>746.99</v>
      </c>
      <c r="J1655" s="42"/>
      <c r="K1655" s="42"/>
      <c r="L1655" s="42">
        <v>746.99</v>
      </c>
      <c r="N1655" s="42"/>
    </row>
    <row r="1656" spans="1:14" x14ac:dyDescent="0.25">
      <c r="A1656" s="1">
        <v>46070</v>
      </c>
      <c r="B1656">
        <v>3</v>
      </c>
      <c r="C1656" t="s">
        <v>541</v>
      </c>
      <c r="D1656" t="s">
        <v>336</v>
      </c>
      <c r="E1656" t="s">
        <v>449</v>
      </c>
      <c r="F1656" t="s">
        <v>41</v>
      </c>
      <c r="G1656" t="s">
        <v>349</v>
      </c>
      <c r="I1656" s="42">
        <v>1351.99</v>
      </c>
      <c r="J1656" s="42">
        <v>30.01</v>
      </c>
      <c r="K1656" s="42"/>
      <c r="L1656" s="42">
        <v>1382</v>
      </c>
      <c r="N1656" s="42">
        <v>1382</v>
      </c>
    </row>
    <row r="1657" spans="1:14" x14ac:dyDescent="0.25">
      <c r="A1657" s="1">
        <v>46070</v>
      </c>
      <c r="B1657">
        <v>3</v>
      </c>
      <c r="C1657" t="s">
        <v>541</v>
      </c>
      <c r="D1657" t="s">
        <v>10</v>
      </c>
      <c r="E1657" t="s">
        <v>450</v>
      </c>
      <c r="F1657" t="s">
        <v>451</v>
      </c>
      <c r="G1657" t="s">
        <v>346</v>
      </c>
      <c r="I1657" s="42">
        <v>746.99</v>
      </c>
      <c r="J1657" s="42">
        <v>120</v>
      </c>
      <c r="K1657" s="42"/>
      <c r="L1657" s="42">
        <v>866.99</v>
      </c>
      <c r="N1657" s="42">
        <v>866.99</v>
      </c>
    </row>
    <row r="1658" spans="1:14" x14ac:dyDescent="0.25">
      <c r="A1658" s="1">
        <v>46070</v>
      </c>
      <c r="B1658">
        <v>3</v>
      </c>
      <c r="C1658" t="s">
        <v>541</v>
      </c>
      <c r="D1658" t="s">
        <v>10</v>
      </c>
      <c r="E1658" t="s">
        <v>452</v>
      </c>
      <c r="F1658" t="s">
        <v>12</v>
      </c>
      <c r="G1658" t="s">
        <v>346</v>
      </c>
      <c r="I1658" s="42">
        <v>1100</v>
      </c>
      <c r="J1658" s="42"/>
      <c r="K1658" s="42"/>
      <c r="L1658" s="42">
        <v>1100</v>
      </c>
      <c r="N1658" s="42">
        <v>1100</v>
      </c>
    </row>
    <row r="1659" spans="1:14" x14ac:dyDescent="0.25">
      <c r="A1659" s="1">
        <v>46070</v>
      </c>
      <c r="B1659">
        <v>3</v>
      </c>
      <c r="C1659" t="s">
        <v>541</v>
      </c>
      <c r="D1659" t="s">
        <v>10</v>
      </c>
      <c r="E1659" t="s">
        <v>499</v>
      </c>
      <c r="F1659" t="s">
        <v>500</v>
      </c>
      <c r="G1659" t="s">
        <v>363</v>
      </c>
      <c r="I1659" s="42">
        <v>801.99</v>
      </c>
      <c r="J1659" s="42"/>
      <c r="K1659" s="42"/>
      <c r="L1659" s="42">
        <v>801.99</v>
      </c>
      <c r="N1659" s="42">
        <v>801.99</v>
      </c>
    </row>
    <row r="1660" spans="1:14" x14ac:dyDescent="0.25">
      <c r="A1660" s="1">
        <v>46070</v>
      </c>
      <c r="B1660">
        <v>3</v>
      </c>
      <c r="C1660" t="s">
        <v>541</v>
      </c>
      <c r="D1660" t="s">
        <v>10</v>
      </c>
      <c r="E1660" t="s">
        <v>453</v>
      </c>
      <c r="F1660" t="s">
        <v>387</v>
      </c>
      <c r="G1660" t="s">
        <v>349</v>
      </c>
      <c r="I1660" s="42">
        <v>831.99</v>
      </c>
      <c r="J1660" s="42"/>
      <c r="K1660" s="42"/>
      <c r="L1660" s="42">
        <v>831.99</v>
      </c>
      <c r="N1660" s="42">
        <v>862</v>
      </c>
    </row>
    <row r="1661" spans="1:14" x14ac:dyDescent="0.25">
      <c r="A1661" s="1">
        <v>46070</v>
      </c>
      <c r="B1661">
        <v>3</v>
      </c>
      <c r="C1661" t="s">
        <v>541</v>
      </c>
      <c r="D1661" t="s">
        <v>10</v>
      </c>
      <c r="E1661" t="s">
        <v>454</v>
      </c>
      <c r="F1661" t="s">
        <v>455</v>
      </c>
      <c r="G1661" t="s">
        <v>349</v>
      </c>
      <c r="I1661" s="42">
        <v>746.99</v>
      </c>
      <c r="J1661" s="42">
        <v>53.01</v>
      </c>
      <c r="K1661" s="42"/>
      <c r="L1661" s="42">
        <v>800</v>
      </c>
      <c r="N1661" s="42">
        <v>800</v>
      </c>
    </row>
    <row r="1662" spans="1:14" x14ac:dyDescent="0.25">
      <c r="A1662" s="1">
        <v>46070</v>
      </c>
      <c r="B1662">
        <v>3</v>
      </c>
      <c r="C1662" t="s">
        <v>541</v>
      </c>
      <c r="D1662" t="s">
        <v>10</v>
      </c>
      <c r="E1662" t="s">
        <v>456</v>
      </c>
      <c r="F1662" t="s">
        <v>41</v>
      </c>
      <c r="G1662" t="s">
        <v>457</v>
      </c>
      <c r="I1662" s="42">
        <v>746.99</v>
      </c>
      <c r="J1662" s="42"/>
      <c r="K1662" s="42">
        <v>1.99</v>
      </c>
      <c r="L1662" s="42">
        <v>745</v>
      </c>
      <c r="N1662" s="42">
        <v>745</v>
      </c>
    </row>
    <row r="1663" spans="1:14" x14ac:dyDescent="0.25">
      <c r="A1663" s="1">
        <v>46070</v>
      </c>
      <c r="B1663">
        <v>3</v>
      </c>
      <c r="C1663" t="s">
        <v>541</v>
      </c>
      <c r="D1663" t="s">
        <v>10</v>
      </c>
      <c r="E1663" t="s">
        <v>458</v>
      </c>
      <c r="F1663" t="s">
        <v>41</v>
      </c>
      <c r="G1663" t="s">
        <v>380</v>
      </c>
      <c r="I1663" s="42">
        <v>746.99</v>
      </c>
      <c r="J1663" s="42">
        <v>0.01</v>
      </c>
      <c r="K1663" s="42"/>
      <c r="L1663" s="42">
        <v>747</v>
      </c>
      <c r="N1663" s="42">
        <v>747</v>
      </c>
    </row>
    <row r="1664" spans="1:14" x14ac:dyDescent="0.25">
      <c r="A1664" s="1">
        <v>46070</v>
      </c>
      <c r="B1664">
        <v>3</v>
      </c>
      <c r="C1664" t="s">
        <v>541</v>
      </c>
      <c r="D1664" t="s">
        <v>10</v>
      </c>
      <c r="E1664" t="s">
        <v>460</v>
      </c>
      <c r="F1664" t="s">
        <v>41</v>
      </c>
      <c r="G1664" t="s">
        <v>346</v>
      </c>
      <c r="I1664" s="42">
        <v>746.99</v>
      </c>
      <c r="J1664" s="42"/>
      <c r="K1664" s="42"/>
      <c r="L1664" s="42">
        <v>746.99</v>
      </c>
      <c r="N1664" s="42">
        <v>746.99</v>
      </c>
    </row>
    <row r="1665" spans="1:14" x14ac:dyDescent="0.25">
      <c r="A1665" s="1">
        <v>46070</v>
      </c>
      <c r="B1665">
        <v>3</v>
      </c>
      <c r="C1665" t="s">
        <v>541</v>
      </c>
      <c r="D1665" t="s">
        <v>10</v>
      </c>
      <c r="E1665" t="s">
        <v>461</v>
      </c>
      <c r="F1665" t="s">
        <v>41</v>
      </c>
      <c r="G1665" t="s">
        <v>462</v>
      </c>
      <c r="I1665" s="42">
        <v>746.99</v>
      </c>
      <c r="J1665" s="42"/>
      <c r="K1665" s="42"/>
      <c r="L1665" s="42">
        <v>746.99</v>
      </c>
      <c r="M1665" s="37">
        <v>20</v>
      </c>
      <c r="N1665" s="42">
        <v>745</v>
      </c>
    </row>
    <row r="1666" spans="1:14" x14ac:dyDescent="0.25">
      <c r="A1666" s="1">
        <v>46070</v>
      </c>
      <c r="B1666">
        <v>3</v>
      </c>
      <c r="C1666" t="s">
        <v>541</v>
      </c>
      <c r="D1666" t="s">
        <v>10</v>
      </c>
      <c r="E1666" t="s">
        <v>463</v>
      </c>
      <c r="F1666" t="s">
        <v>158</v>
      </c>
      <c r="G1666" t="s">
        <v>346</v>
      </c>
      <c r="I1666" s="42">
        <v>746.99</v>
      </c>
      <c r="J1666" s="42">
        <v>120</v>
      </c>
      <c r="K1666" s="42"/>
      <c r="L1666" s="42">
        <v>866.99</v>
      </c>
      <c r="N1666" s="42">
        <v>400</v>
      </c>
    </row>
    <row r="1667" spans="1:14" x14ac:dyDescent="0.25">
      <c r="A1667" s="1">
        <v>46070</v>
      </c>
      <c r="B1667">
        <v>3</v>
      </c>
      <c r="C1667" t="s">
        <v>542</v>
      </c>
      <c r="D1667" t="s">
        <v>136</v>
      </c>
      <c r="E1667" t="s">
        <v>464</v>
      </c>
      <c r="F1667" t="s">
        <v>55</v>
      </c>
      <c r="G1667" t="s">
        <v>346</v>
      </c>
      <c r="I1667" s="42">
        <v>746.99</v>
      </c>
      <c r="J1667" s="42"/>
      <c r="K1667" s="42"/>
      <c r="L1667" s="42">
        <v>746.99</v>
      </c>
      <c r="N1667" s="42">
        <v>746.99</v>
      </c>
    </row>
    <row r="1668" spans="1:14" x14ac:dyDescent="0.25">
      <c r="A1668" s="1">
        <v>46070</v>
      </c>
      <c r="B1668">
        <v>3</v>
      </c>
      <c r="C1668" t="s">
        <v>541</v>
      </c>
      <c r="D1668" t="s">
        <v>10</v>
      </c>
      <c r="E1668" t="s">
        <v>465</v>
      </c>
      <c r="F1668" t="s">
        <v>41</v>
      </c>
      <c r="G1668" t="s">
        <v>346</v>
      </c>
      <c r="I1668" s="42">
        <v>1001.99</v>
      </c>
      <c r="J1668" s="42"/>
      <c r="K1668" s="42"/>
      <c r="L1668" s="42">
        <v>1496.99</v>
      </c>
      <c r="N1668" s="42">
        <v>1001.99</v>
      </c>
    </row>
    <row r="1669" spans="1:14" x14ac:dyDescent="0.25">
      <c r="A1669" s="1">
        <v>46070</v>
      </c>
      <c r="B1669">
        <v>3</v>
      </c>
      <c r="C1669" t="s">
        <v>541</v>
      </c>
      <c r="D1669" t="s">
        <v>10</v>
      </c>
      <c r="E1669" t="s">
        <v>468</v>
      </c>
      <c r="F1669" t="s">
        <v>469</v>
      </c>
      <c r="G1669" t="s">
        <v>346</v>
      </c>
      <c r="I1669" s="42">
        <v>851.99</v>
      </c>
      <c r="J1669" s="42"/>
      <c r="K1669" s="42"/>
      <c r="L1669" s="42">
        <v>1346.99</v>
      </c>
      <c r="N1669" s="42">
        <v>851.99</v>
      </c>
    </row>
    <row r="1670" spans="1:14" x14ac:dyDescent="0.25">
      <c r="A1670" s="1">
        <v>46070</v>
      </c>
      <c r="B1670">
        <v>3</v>
      </c>
      <c r="C1670" t="s">
        <v>541</v>
      </c>
      <c r="D1670" t="s">
        <v>10</v>
      </c>
      <c r="E1670" t="s">
        <v>466</v>
      </c>
      <c r="F1670" t="s">
        <v>33</v>
      </c>
      <c r="G1670" t="s">
        <v>467</v>
      </c>
      <c r="I1670" s="42">
        <v>746.99</v>
      </c>
      <c r="J1670" s="42">
        <v>88.01</v>
      </c>
      <c r="K1670" s="42"/>
      <c r="L1670" s="42">
        <v>835</v>
      </c>
      <c r="N1670" s="42">
        <v>400</v>
      </c>
    </row>
    <row r="1671" spans="1:14" x14ac:dyDescent="0.25">
      <c r="A1671" s="1">
        <v>46070</v>
      </c>
      <c r="B1671">
        <v>3</v>
      </c>
      <c r="C1671" t="s">
        <v>541</v>
      </c>
      <c r="D1671" t="s">
        <v>10</v>
      </c>
      <c r="E1671" t="s">
        <v>470</v>
      </c>
      <c r="F1671" t="s">
        <v>55</v>
      </c>
      <c r="G1671" t="s">
        <v>346</v>
      </c>
      <c r="I1671" s="42">
        <v>746.99</v>
      </c>
      <c r="J1671" s="42">
        <v>30.01</v>
      </c>
      <c r="K1671" s="42"/>
      <c r="L1671" s="42">
        <v>777</v>
      </c>
      <c r="N1671" s="42">
        <v>777</v>
      </c>
    </row>
    <row r="1672" spans="1:14" x14ac:dyDescent="0.25">
      <c r="A1672" s="1">
        <v>46070</v>
      </c>
      <c r="B1672">
        <v>3</v>
      </c>
      <c r="C1672" t="s">
        <v>541</v>
      </c>
      <c r="D1672" t="s">
        <v>10</v>
      </c>
      <c r="E1672" t="s">
        <v>471</v>
      </c>
      <c r="F1672" t="s">
        <v>472</v>
      </c>
      <c r="G1672" t="s">
        <v>346</v>
      </c>
      <c r="I1672" s="42">
        <v>746.99</v>
      </c>
      <c r="J1672" s="42">
        <v>30</v>
      </c>
      <c r="K1672" s="42"/>
      <c r="L1672" s="42">
        <v>776.99</v>
      </c>
      <c r="N1672" s="42">
        <v>776.99</v>
      </c>
    </row>
    <row r="1673" spans="1:14" x14ac:dyDescent="0.25">
      <c r="A1673" s="1">
        <v>46070</v>
      </c>
      <c r="B1673">
        <v>3</v>
      </c>
      <c r="C1673" t="s">
        <v>541</v>
      </c>
      <c r="D1673" t="s">
        <v>10</v>
      </c>
      <c r="E1673" t="s">
        <v>474</v>
      </c>
      <c r="F1673" t="s">
        <v>230</v>
      </c>
      <c r="G1673" t="s">
        <v>467</v>
      </c>
      <c r="I1673" s="42">
        <v>746.99</v>
      </c>
      <c r="J1673" s="42"/>
      <c r="K1673" s="42"/>
      <c r="L1673" s="42">
        <v>746.99</v>
      </c>
      <c r="N1673" s="42">
        <v>746.99</v>
      </c>
    </row>
    <row r="1674" spans="1:14" x14ac:dyDescent="0.25">
      <c r="A1674" s="1">
        <v>46070</v>
      </c>
      <c r="B1674">
        <v>3</v>
      </c>
      <c r="C1674" t="s">
        <v>541</v>
      </c>
      <c r="D1674" t="s">
        <v>10</v>
      </c>
      <c r="E1674" t="s">
        <v>477</v>
      </c>
      <c r="F1674" t="s">
        <v>230</v>
      </c>
      <c r="G1674" t="s">
        <v>346</v>
      </c>
      <c r="I1674" s="42">
        <v>746.99</v>
      </c>
      <c r="J1674" s="42"/>
      <c r="K1674" s="42"/>
      <c r="L1674" s="42">
        <v>746.99</v>
      </c>
      <c r="N1674" s="42">
        <v>746.99</v>
      </c>
    </row>
    <row r="1675" spans="1:14" x14ac:dyDescent="0.25">
      <c r="A1675" s="1">
        <v>46070</v>
      </c>
      <c r="B1675">
        <v>3</v>
      </c>
      <c r="C1675" t="s">
        <v>541</v>
      </c>
      <c r="D1675" t="s">
        <v>10</v>
      </c>
      <c r="E1675" t="s">
        <v>478</v>
      </c>
      <c r="F1675" t="s">
        <v>158</v>
      </c>
      <c r="G1675" t="s">
        <v>346</v>
      </c>
      <c r="I1675" s="42">
        <v>746.99</v>
      </c>
      <c r="J1675" s="42">
        <v>120</v>
      </c>
      <c r="K1675" s="42"/>
      <c r="L1675" s="42">
        <v>866.99</v>
      </c>
      <c r="N1675" s="42">
        <v>830</v>
      </c>
    </row>
    <row r="1676" spans="1:14" x14ac:dyDescent="0.25">
      <c r="A1676" s="1">
        <v>46070</v>
      </c>
      <c r="B1676">
        <v>3</v>
      </c>
      <c r="C1676" t="s">
        <v>541</v>
      </c>
      <c r="D1676" t="s">
        <v>10</v>
      </c>
      <c r="E1676" t="s">
        <v>479</v>
      </c>
      <c r="F1676" t="s">
        <v>41</v>
      </c>
      <c r="G1676" t="s">
        <v>398</v>
      </c>
      <c r="I1676" s="42">
        <v>746.99</v>
      </c>
      <c r="J1676" s="42">
        <v>120</v>
      </c>
      <c r="K1676" s="42"/>
      <c r="L1676" s="42">
        <v>866.99</v>
      </c>
      <c r="M1676" s="37">
        <v>397.23</v>
      </c>
      <c r="N1676" s="42">
        <v>866.99</v>
      </c>
    </row>
    <row r="1677" spans="1:14" x14ac:dyDescent="0.25">
      <c r="A1677" s="1">
        <v>46070</v>
      </c>
      <c r="B1677">
        <v>3</v>
      </c>
      <c r="C1677" t="s">
        <v>541</v>
      </c>
      <c r="D1677" t="s">
        <v>10</v>
      </c>
      <c r="E1677" t="s">
        <v>480</v>
      </c>
      <c r="F1677" t="s">
        <v>158</v>
      </c>
      <c r="G1677" t="s">
        <v>346</v>
      </c>
      <c r="I1677" s="42">
        <v>746.99</v>
      </c>
      <c r="J1677" s="42"/>
      <c r="K1677" s="42"/>
      <c r="L1677" s="42">
        <v>746.99</v>
      </c>
      <c r="N1677" s="42">
        <v>746.99</v>
      </c>
    </row>
    <row r="1678" spans="1:14" x14ac:dyDescent="0.25">
      <c r="A1678" s="1">
        <v>46070</v>
      </c>
      <c r="B1678">
        <v>3</v>
      </c>
      <c r="C1678" t="s">
        <v>541</v>
      </c>
      <c r="D1678" t="s">
        <v>10</v>
      </c>
      <c r="E1678" t="s">
        <v>481</v>
      </c>
      <c r="F1678" t="s">
        <v>41</v>
      </c>
      <c r="G1678" t="s">
        <v>398</v>
      </c>
      <c r="I1678" s="42">
        <v>746.99</v>
      </c>
      <c r="J1678" s="42"/>
      <c r="K1678" s="42">
        <v>1.99</v>
      </c>
      <c r="L1678" s="42">
        <v>745</v>
      </c>
      <c r="M1678" s="37">
        <v>2057.73</v>
      </c>
      <c r="N1678" s="42">
        <v>745</v>
      </c>
    </row>
    <row r="1679" spans="1:14" x14ac:dyDescent="0.25">
      <c r="A1679" s="1">
        <v>46070</v>
      </c>
      <c r="B1679">
        <v>3</v>
      </c>
      <c r="C1679" t="s">
        <v>541</v>
      </c>
      <c r="D1679" t="s">
        <v>10</v>
      </c>
      <c r="E1679" t="s">
        <v>483</v>
      </c>
      <c r="F1679" t="s">
        <v>158</v>
      </c>
      <c r="G1679" t="s">
        <v>346</v>
      </c>
      <c r="I1679" s="42">
        <v>746.99</v>
      </c>
      <c r="J1679" s="42"/>
      <c r="K1679" s="42">
        <v>0.99</v>
      </c>
      <c r="L1679" s="42">
        <v>746</v>
      </c>
      <c r="N1679" s="42">
        <v>746</v>
      </c>
    </row>
    <row r="1680" spans="1:14" x14ac:dyDescent="0.25">
      <c r="A1680" s="1">
        <v>46070</v>
      </c>
      <c r="B1680">
        <v>3</v>
      </c>
      <c r="C1680" t="s">
        <v>541</v>
      </c>
      <c r="D1680" t="s">
        <v>10</v>
      </c>
      <c r="E1680" t="s">
        <v>484</v>
      </c>
      <c r="F1680" t="s">
        <v>158</v>
      </c>
      <c r="G1680" t="s">
        <v>346</v>
      </c>
      <c r="I1680" s="42">
        <v>746.99</v>
      </c>
      <c r="J1680" s="42"/>
      <c r="K1680" s="42"/>
      <c r="L1680" s="42">
        <v>746.99</v>
      </c>
      <c r="N1680" s="42">
        <v>746.99</v>
      </c>
    </row>
    <row r="1681" spans="1:14" x14ac:dyDescent="0.25">
      <c r="A1681" s="1">
        <v>46070</v>
      </c>
      <c r="B1681">
        <v>3</v>
      </c>
      <c r="C1681" t="s">
        <v>541</v>
      </c>
      <c r="D1681" t="s">
        <v>10</v>
      </c>
      <c r="E1681" t="s">
        <v>485</v>
      </c>
      <c r="F1681" t="s">
        <v>37</v>
      </c>
      <c r="G1681" t="s">
        <v>346</v>
      </c>
      <c r="I1681" s="42">
        <v>1251.99</v>
      </c>
      <c r="J1681" s="42">
        <v>180</v>
      </c>
      <c r="K1681" s="42"/>
      <c r="L1681" s="42">
        <v>1431.99</v>
      </c>
      <c r="N1681" s="42">
        <v>1192.01</v>
      </c>
    </row>
    <row r="1682" spans="1:14" x14ac:dyDescent="0.25">
      <c r="A1682" s="1">
        <v>46070</v>
      </c>
      <c r="B1682">
        <v>3</v>
      </c>
      <c r="C1682" t="s">
        <v>541</v>
      </c>
      <c r="D1682" t="s">
        <v>136</v>
      </c>
      <c r="E1682" t="s">
        <v>486</v>
      </c>
      <c r="F1682" t="s">
        <v>52</v>
      </c>
      <c r="G1682" t="s">
        <v>346</v>
      </c>
      <c r="I1682" s="42">
        <v>1251.99</v>
      </c>
      <c r="J1682" s="42"/>
      <c r="K1682" s="42">
        <v>1.99</v>
      </c>
      <c r="L1682" s="42">
        <v>1250</v>
      </c>
      <c r="N1682" s="42">
        <v>1250</v>
      </c>
    </row>
    <row r="1683" spans="1:14" x14ac:dyDescent="0.25">
      <c r="A1683" s="1">
        <v>46070</v>
      </c>
      <c r="B1683">
        <v>3</v>
      </c>
      <c r="C1683" t="s">
        <v>541</v>
      </c>
      <c r="D1683" t="s">
        <v>10</v>
      </c>
      <c r="E1683" t="s">
        <v>487</v>
      </c>
      <c r="F1683" t="s">
        <v>52</v>
      </c>
      <c r="G1683" t="s">
        <v>359</v>
      </c>
      <c r="I1683" s="42">
        <v>801.99</v>
      </c>
      <c r="J1683" s="42"/>
      <c r="K1683" s="42">
        <v>1.99</v>
      </c>
      <c r="L1683" s="42">
        <v>800</v>
      </c>
      <c r="N1683" s="42">
        <v>800</v>
      </c>
    </row>
    <row r="1684" spans="1:14" x14ac:dyDescent="0.25">
      <c r="A1684" s="1">
        <v>46070</v>
      </c>
      <c r="B1684">
        <v>3</v>
      </c>
      <c r="C1684" t="s">
        <v>541</v>
      </c>
      <c r="D1684" t="s">
        <v>10</v>
      </c>
      <c r="E1684" t="s">
        <v>488</v>
      </c>
      <c r="F1684" t="s">
        <v>407</v>
      </c>
      <c r="G1684" t="s">
        <v>346</v>
      </c>
      <c r="I1684" s="42">
        <v>1251.99</v>
      </c>
      <c r="J1684" s="42"/>
      <c r="K1684" s="42">
        <v>1.99</v>
      </c>
      <c r="L1684" s="42">
        <v>1250</v>
      </c>
      <c r="N1684" s="42">
        <v>1250</v>
      </c>
    </row>
    <row r="1685" spans="1:14" x14ac:dyDescent="0.25">
      <c r="A1685" s="1">
        <v>46070</v>
      </c>
      <c r="B1685">
        <v>3</v>
      </c>
      <c r="C1685" t="s">
        <v>541</v>
      </c>
      <c r="D1685" t="s">
        <v>10</v>
      </c>
      <c r="E1685" t="s">
        <v>489</v>
      </c>
      <c r="F1685" t="s">
        <v>52</v>
      </c>
      <c r="G1685" t="s">
        <v>346</v>
      </c>
      <c r="I1685" s="42">
        <v>931.99</v>
      </c>
      <c r="J1685" s="42"/>
      <c r="K1685" s="42">
        <v>398.58</v>
      </c>
      <c r="L1685" s="42">
        <v>533.41</v>
      </c>
      <c r="N1685" s="42">
        <v>66.86</v>
      </c>
    </row>
    <row r="1686" spans="1:14" x14ac:dyDescent="0.25">
      <c r="A1686" s="1">
        <v>46070</v>
      </c>
      <c r="B1686">
        <v>3</v>
      </c>
      <c r="C1686" t="s">
        <v>541</v>
      </c>
      <c r="D1686" t="s">
        <v>10</v>
      </c>
      <c r="E1686" t="s">
        <v>490</v>
      </c>
      <c r="F1686" t="s">
        <v>403</v>
      </c>
      <c r="G1686" t="s">
        <v>346</v>
      </c>
      <c r="I1686" s="42">
        <v>1000</v>
      </c>
      <c r="J1686" s="42">
        <v>2</v>
      </c>
      <c r="K1686" s="42"/>
      <c r="L1686" s="42">
        <v>1002</v>
      </c>
      <c r="N1686" s="42">
        <v>1002</v>
      </c>
    </row>
    <row r="1687" spans="1:14" x14ac:dyDescent="0.25">
      <c r="A1687" s="1">
        <v>46070</v>
      </c>
      <c r="B1687">
        <v>3</v>
      </c>
      <c r="C1687" t="s">
        <v>541</v>
      </c>
      <c r="D1687" t="s">
        <v>10</v>
      </c>
      <c r="E1687" t="s">
        <v>496</v>
      </c>
      <c r="F1687" t="s">
        <v>403</v>
      </c>
      <c r="G1687" t="s">
        <v>346</v>
      </c>
      <c r="I1687" s="42">
        <v>801.99</v>
      </c>
      <c r="J1687" s="42"/>
      <c r="K1687" s="42"/>
      <c r="L1687" s="42">
        <v>1296.99</v>
      </c>
      <c r="N1687" s="42">
        <v>801.99</v>
      </c>
    </row>
    <row r="1688" spans="1:14" x14ac:dyDescent="0.25">
      <c r="A1688" s="1">
        <v>46070</v>
      </c>
      <c r="B1688">
        <v>3</v>
      </c>
      <c r="C1688" t="s">
        <v>541</v>
      </c>
      <c r="D1688" t="s">
        <v>10</v>
      </c>
      <c r="E1688" t="s">
        <v>494</v>
      </c>
      <c r="F1688" t="s">
        <v>69</v>
      </c>
      <c r="G1688" t="s">
        <v>349</v>
      </c>
      <c r="I1688" s="42">
        <v>1001.99</v>
      </c>
      <c r="J1688" s="42">
        <v>120</v>
      </c>
      <c r="K1688" s="42">
        <v>429.42</v>
      </c>
      <c r="L1688" s="42">
        <v>692.57</v>
      </c>
      <c r="N1688" s="42"/>
    </row>
    <row r="1689" spans="1:14" x14ac:dyDescent="0.25">
      <c r="A1689" s="1">
        <v>46070</v>
      </c>
      <c r="B1689">
        <v>3</v>
      </c>
      <c r="C1689" t="s">
        <v>541</v>
      </c>
      <c r="D1689" t="s">
        <v>136</v>
      </c>
      <c r="E1689" t="s">
        <v>491</v>
      </c>
      <c r="F1689" t="s">
        <v>403</v>
      </c>
      <c r="G1689" t="s">
        <v>346</v>
      </c>
      <c r="I1689" s="42">
        <v>746.99</v>
      </c>
      <c r="J1689" s="42"/>
      <c r="K1689" s="42"/>
      <c r="L1689" s="42">
        <v>746.99</v>
      </c>
      <c r="N1689" s="42">
        <v>746.99</v>
      </c>
    </row>
    <row r="1690" spans="1:14" x14ac:dyDescent="0.25">
      <c r="A1690" s="1">
        <v>46070</v>
      </c>
      <c r="B1690">
        <v>3</v>
      </c>
      <c r="C1690" t="s">
        <v>541</v>
      </c>
      <c r="D1690" t="s">
        <v>10</v>
      </c>
      <c r="E1690" t="s">
        <v>702</v>
      </c>
      <c r="F1690" t="s">
        <v>55</v>
      </c>
      <c r="G1690" t="s">
        <v>703</v>
      </c>
      <c r="I1690" s="42">
        <v>931.99</v>
      </c>
      <c r="J1690" s="42">
        <v>30</v>
      </c>
      <c r="K1690" s="42"/>
      <c r="L1690" s="42">
        <v>961.99</v>
      </c>
      <c r="N1690" s="42">
        <v>961.99</v>
      </c>
    </row>
    <row r="1691" spans="1:14" x14ac:dyDescent="0.25">
      <c r="A1691" s="1">
        <v>46070</v>
      </c>
      <c r="B1691">
        <v>3</v>
      </c>
      <c r="C1691" t="s">
        <v>541</v>
      </c>
      <c r="D1691" t="s">
        <v>10</v>
      </c>
      <c r="E1691" t="s">
        <v>492</v>
      </c>
      <c r="F1691" t="s">
        <v>28</v>
      </c>
      <c r="G1691" t="s">
        <v>493</v>
      </c>
      <c r="I1691" s="42">
        <v>746.99</v>
      </c>
      <c r="J1691" s="42">
        <v>0.01</v>
      </c>
      <c r="K1691" s="42"/>
      <c r="L1691" s="42">
        <v>747</v>
      </c>
      <c r="N1691" s="42">
        <v>747</v>
      </c>
    </row>
    <row r="1692" spans="1:14" x14ac:dyDescent="0.25">
      <c r="A1692" s="1">
        <v>46070</v>
      </c>
      <c r="B1692">
        <v>3</v>
      </c>
      <c r="C1692" t="s">
        <v>541</v>
      </c>
      <c r="D1692" t="s">
        <v>10</v>
      </c>
      <c r="E1692" t="s">
        <v>502</v>
      </c>
      <c r="F1692" t="s">
        <v>55</v>
      </c>
      <c r="G1692" t="s">
        <v>346</v>
      </c>
      <c r="I1692" s="42">
        <v>1251.99</v>
      </c>
      <c r="J1692" s="42">
        <v>30.01</v>
      </c>
      <c r="K1692" s="42"/>
      <c r="L1692" s="42">
        <v>1282</v>
      </c>
      <c r="N1692" s="42">
        <v>1282</v>
      </c>
    </row>
    <row r="1693" spans="1:14" x14ac:dyDescent="0.25">
      <c r="A1693" s="1">
        <v>46070</v>
      </c>
      <c r="B1693">
        <v>3</v>
      </c>
      <c r="C1693" t="s">
        <v>541</v>
      </c>
      <c r="D1693" t="s">
        <v>10</v>
      </c>
      <c r="E1693" t="s">
        <v>417</v>
      </c>
      <c r="F1693" t="s">
        <v>52</v>
      </c>
      <c r="G1693" t="s">
        <v>359</v>
      </c>
      <c r="I1693" s="42">
        <v>746.99</v>
      </c>
      <c r="J1693" s="42">
        <v>30.01</v>
      </c>
      <c r="K1693" s="42"/>
      <c r="L1693" s="42">
        <v>777</v>
      </c>
      <c r="N1693" s="42">
        <v>777</v>
      </c>
    </row>
    <row r="1694" spans="1:14" x14ac:dyDescent="0.25">
      <c r="A1694" s="1">
        <v>46070</v>
      </c>
      <c r="B1694">
        <v>3</v>
      </c>
      <c r="C1694" t="s">
        <v>541</v>
      </c>
      <c r="D1694" t="s">
        <v>10</v>
      </c>
      <c r="E1694" t="s">
        <v>318</v>
      </c>
      <c r="F1694" t="s">
        <v>12</v>
      </c>
      <c r="G1694" t="s">
        <v>346</v>
      </c>
      <c r="I1694" s="42">
        <v>901.99</v>
      </c>
      <c r="J1694" s="42">
        <v>0.01</v>
      </c>
      <c r="K1694" s="42"/>
      <c r="L1694" s="42">
        <v>902</v>
      </c>
      <c r="N1694" s="42">
        <v>902</v>
      </c>
    </row>
    <row r="1695" spans="1:14" x14ac:dyDescent="0.25">
      <c r="A1695" s="1">
        <v>46070</v>
      </c>
      <c r="B1695">
        <v>3</v>
      </c>
      <c r="C1695" t="s">
        <v>541</v>
      </c>
      <c r="D1695" t="s">
        <v>10</v>
      </c>
      <c r="E1695" t="s">
        <v>497</v>
      </c>
      <c r="F1695" t="s">
        <v>498</v>
      </c>
      <c r="G1695" t="s">
        <v>349</v>
      </c>
      <c r="I1695" s="42">
        <v>746.99</v>
      </c>
      <c r="J1695" s="42"/>
      <c r="K1695" s="42"/>
      <c r="L1695" s="42">
        <v>746.99</v>
      </c>
      <c r="N1695" s="42"/>
    </row>
    <row r="1696" spans="1:14" x14ac:dyDescent="0.25">
      <c r="A1696" s="1">
        <v>46070</v>
      </c>
      <c r="B1696">
        <v>3</v>
      </c>
      <c r="C1696" t="s">
        <v>542</v>
      </c>
      <c r="D1696" t="s">
        <v>99</v>
      </c>
      <c r="E1696" t="s">
        <v>504</v>
      </c>
      <c r="F1696" t="s">
        <v>37</v>
      </c>
      <c r="G1696" t="s">
        <v>420</v>
      </c>
      <c r="I1696" s="42">
        <v>1251.99</v>
      </c>
      <c r="J1696" s="42"/>
      <c r="K1696" s="42"/>
      <c r="L1696" s="42">
        <v>1251.99</v>
      </c>
      <c r="N1696" s="42"/>
    </row>
    <row r="1697" spans="1:14" x14ac:dyDescent="0.25">
      <c r="A1697" s="1">
        <v>46070</v>
      </c>
      <c r="B1697">
        <v>3</v>
      </c>
      <c r="C1697" t="s">
        <v>541</v>
      </c>
      <c r="D1697" t="s">
        <v>10</v>
      </c>
      <c r="E1697" t="s">
        <v>536</v>
      </c>
      <c r="F1697" t="s">
        <v>52</v>
      </c>
      <c r="G1697" t="s">
        <v>359</v>
      </c>
      <c r="I1697" s="42">
        <v>801.99</v>
      </c>
      <c r="J1697" s="42">
        <v>30</v>
      </c>
      <c r="K1697" s="42"/>
      <c r="L1697" s="42">
        <v>831.99</v>
      </c>
      <c r="N1697" s="42"/>
    </row>
    <row r="1698" spans="1:14" x14ac:dyDescent="0.25">
      <c r="A1698" s="1">
        <v>46070</v>
      </c>
      <c r="B1698">
        <v>3</v>
      </c>
      <c r="C1698" t="s">
        <v>542</v>
      </c>
      <c r="D1698" t="s">
        <v>99</v>
      </c>
      <c r="E1698" t="s">
        <v>518</v>
      </c>
      <c r="F1698" t="s">
        <v>385</v>
      </c>
      <c r="G1698" t="s">
        <v>349</v>
      </c>
      <c r="I1698" s="42">
        <v>746.99</v>
      </c>
      <c r="J1698" s="42">
        <v>0.01</v>
      </c>
      <c r="K1698" s="42"/>
      <c r="L1698" s="42">
        <v>747</v>
      </c>
      <c r="N1698" s="42">
        <v>747</v>
      </c>
    </row>
    <row r="1699" spans="1:14" x14ac:dyDescent="0.25">
      <c r="A1699" s="1">
        <v>46070</v>
      </c>
      <c r="B1699">
        <v>3</v>
      </c>
      <c r="C1699" t="s">
        <v>541</v>
      </c>
      <c r="D1699" t="s">
        <v>10</v>
      </c>
      <c r="E1699" t="s">
        <v>473</v>
      </c>
      <c r="F1699" t="s">
        <v>158</v>
      </c>
      <c r="G1699" t="s">
        <v>346</v>
      </c>
      <c r="I1699" s="42">
        <v>746.99</v>
      </c>
      <c r="J1699" s="42"/>
      <c r="K1699" s="42"/>
      <c r="L1699" s="42">
        <v>746.99</v>
      </c>
      <c r="N1699" s="42">
        <v>746.99</v>
      </c>
    </row>
    <row r="1700" spans="1:14" x14ac:dyDescent="0.25">
      <c r="A1700" s="1">
        <v>46070</v>
      </c>
      <c r="B1700">
        <v>3</v>
      </c>
      <c r="C1700" t="s">
        <v>541</v>
      </c>
      <c r="D1700" t="s">
        <v>10</v>
      </c>
      <c r="E1700" t="s">
        <v>475</v>
      </c>
      <c r="F1700" t="s">
        <v>37</v>
      </c>
      <c r="G1700" t="s">
        <v>467</v>
      </c>
      <c r="I1700" s="42">
        <v>746.99</v>
      </c>
      <c r="J1700" s="42"/>
      <c r="K1700" s="42"/>
      <c r="L1700" s="42">
        <v>746.99</v>
      </c>
      <c r="N1700" s="42">
        <v>746.99</v>
      </c>
    </row>
    <row r="1701" spans="1:14" x14ac:dyDescent="0.25">
      <c r="A1701" s="1">
        <v>46070</v>
      </c>
      <c r="B1701">
        <v>3</v>
      </c>
      <c r="C1701" t="s">
        <v>541</v>
      </c>
      <c r="D1701" t="s">
        <v>10</v>
      </c>
      <c r="E1701" t="s">
        <v>476</v>
      </c>
      <c r="F1701" t="s">
        <v>158</v>
      </c>
      <c r="G1701" t="s">
        <v>346</v>
      </c>
      <c r="I1701" s="42">
        <v>746.99</v>
      </c>
      <c r="J1701" s="42"/>
      <c r="K1701" s="42">
        <v>136.99</v>
      </c>
      <c r="L1701" s="42">
        <v>610</v>
      </c>
      <c r="N1701" s="42">
        <v>610</v>
      </c>
    </row>
    <row r="1702" spans="1:14" x14ac:dyDescent="0.25">
      <c r="A1702" s="1">
        <v>46070</v>
      </c>
      <c r="B1702">
        <v>3</v>
      </c>
      <c r="C1702" t="s">
        <v>541</v>
      </c>
      <c r="D1702" t="s">
        <v>10</v>
      </c>
      <c r="E1702" t="s">
        <v>511</v>
      </c>
      <c r="F1702" t="s">
        <v>512</v>
      </c>
      <c r="G1702" t="s">
        <v>346</v>
      </c>
      <c r="I1702" s="42">
        <v>801.99</v>
      </c>
      <c r="J1702" s="42">
        <v>7.01</v>
      </c>
      <c r="K1702" s="42"/>
      <c r="L1702" s="42">
        <v>809</v>
      </c>
      <c r="N1702" s="42">
        <v>809</v>
      </c>
    </row>
    <row r="1703" spans="1:14" x14ac:dyDescent="0.25">
      <c r="A1703" s="1">
        <v>46070</v>
      </c>
      <c r="B1703">
        <v>3</v>
      </c>
      <c r="C1703" t="s">
        <v>541</v>
      </c>
      <c r="D1703" t="s">
        <v>10</v>
      </c>
      <c r="E1703" t="s">
        <v>516</v>
      </c>
      <c r="F1703" t="s">
        <v>517</v>
      </c>
      <c r="G1703" t="s">
        <v>349</v>
      </c>
      <c r="I1703" s="42">
        <v>746.99</v>
      </c>
      <c r="J1703" s="42"/>
      <c r="K1703" s="42"/>
      <c r="L1703" s="42">
        <v>1241.99</v>
      </c>
      <c r="N1703" s="42">
        <v>746.99</v>
      </c>
    </row>
    <row r="1704" spans="1:14" x14ac:dyDescent="0.25">
      <c r="A1704" s="1">
        <v>46070</v>
      </c>
      <c r="B1704">
        <v>3</v>
      </c>
      <c r="C1704" t="s">
        <v>541</v>
      </c>
      <c r="D1704" t="s">
        <v>10</v>
      </c>
      <c r="E1704" t="s">
        <v>322</v>
      </c>
      <c r="F1704" t="s">
        <v>158</v>
      </c>
      <c r="G1704" t="s">
        <v>346</v>
      </c>
      <c r="I1704" s="42">
        <v>746.99</v>
      </c>
      <c r="J1704" s="42"/>
      <c r="K1704" s="42"/>
      <c r="L1704" s="42">
        <v>746.99</v>
      </c>
      <c r="N1704" s="42">
        <v>746.99</v>
      </c>
    </row>
    <row r="1705" spans="1:14" x14ac:dyDescent="0.25">
      <c r="A1705" s="1">
        <v>46070</v>
      </c>
      <c r="B1705">
        <v>3</v>
      </c>
      <c r="C1705" t="s">
        <v>541</v>
      </c>
      <c r="D1705" t="s">
        <v>10</v>
      </c>
      <c r="E1705" t="s">
        <v>323</v>
      </c>
      <c r="F1705" t="s">
        <v>158</v>
      </c>
      <c r="G1705" t="s">
        <v>346</v>
      </c>
      <c r="I1705" s="42">
        <v>991.99</v>
      </c>
      <c r="J1705" s="42">
        <v>0.01</v>
      </c>
      <c r="K1705" s="42"/>
      <c r="L1705" s="42">
        <v>992</v>
      </c>
      <c r="N1705" s="42">
        <v>992</v>
      </c>
    </row>
    <row r="1706" spans="1:14" x14ac:dyDescent="0.25">
      <c r="A1706" s="1">
        <v>46070</v>
      </c>
      <c r="B1706">
        <v>3</v>
      </c>
      <c r="C1706" t="s">
        <v>541</v>
      </c>
      <c r="D1706" t="s">
        <v>10</v>
      </c>
      <c r="E1706" t="s">
        <v>711</v>
      </c>
      <c r="F1706" t="s">
        <v>383</v>
      </c>
      <c r="G1706" t="s">
        <v>370</v>
      </c>
      <c r="I1706" s="42">
        <v>991.99</v>
      </c>
      <c r="J1706" s="42"/>
      <c r="K1706" s="42"/>
      <c r="L1706" s="42">
        <v>991.99</v>
      </c>
      <c r="N1706" s="42">
        <v>991.99</v>
      </c>
    </row>
    <row r="1707" spans="1:14" x14ac:dyDescent="0.25">
      <c r="A1707" s="1">
        <v>46070</v>
      </c>
      <c r="B1707">
        <v>3</v>
      </c>
      <c r="C1707" t="s">
        <v>541</v>
      </c>
      <c r="D1707" t="s">
        <v>10</v>
      </c>
      <c r="E1707" t="s">
        <v>712</v>
      </c>
      <c r="F1707" t="s">
        <v>383</v>
      </c>
      <c r="G1707" t="s">
        <v>370</v>
      </c>
      <c r="I1707" s="42">
        <v>1051.99</v>
      </c>
      <c r="J1707" s="42"/>
      <c r="K1707" s="42"/>
      <c r="L1707" s="42">
        <v>1051.99</v>
      </c>
      <c r="N1707" s="42"/>
    </row>
    <row r="1708" spans="1:14" x14ac:dyDescent="0.25">
      <c r="A1708" s="1">
        <v>46070</v>
      </c>
      <c r="B1708">
        <v>3</v>
      </c>
      <c r="C1708" t="s">
        <v>542</v>
      </c>
      <c r="D1708" t="s">
        <v>706</v>
      </c>
      <c r="E1708" t="s">
        <v>371</v>
      </c>
      <c r="F1708" t="s">
        <v>277</v>
      </c>
      <c r="G1708" t="s">
        <v>370</v>
      </c>
      <c r="I1708" s="42">
        <v>981.99</v>
      </c>
      <c r="J1708" s="42"/>
      <c r="K1708" s="42"/>
      <c r="L1708" s="42">
        <v>981.99</v>
      </c>
      <c r="N1708" s="42"/>
    </row>
    <row r="1709" spans="1:14" x14ac:dyDescent="0.25">
      <c r="A1709" s="1">
        <v>46070</v>
      </c>
      <c r="B1709">
        <v>3</v>
      </c>
      <c r="C1709" t="s">
        <v>542</v>
      </c>
      <c r="D1709" t="s">
        <v>99</v>
      </c>
      <c r="E1709" t="s">
        <v>368</v>
      </c>
      <c r="F1709" t="s">
        <v>369</v>
      </c>
      <c r="G1709" t="s">
        <v>370</v>
      </c>
      <c r="I1709" s="42">
        <v>746.99</v>
      </c>
      <c r="J1709" s="42"/>
      <c r="K1709" s="42"/>
      <c r="L1709" s="42">
        <v>746.99</v>
      </c>
      <c r="N1709" s="42"/>
    </row>
    <row r="1710" spans="1:14" x14ac:dyDescent="0.25">
      <c r="A1710" s="1">
        <v>46070</v>
      </c>
      <c r="B1710">
        <v>3</v>
      </c>
      <c r="C1710" t="s">
        <v>542</v>
      </c>
      <c r="D1710" t="s">
        <v>99</v>
      </c>
      <c r="E1710" t="s">
        <v>394</v>
      </c>
      <c r="F1710" t="s">
        <v>230</v>
      </c>
      <c r="G1710" t="s">
        <v>346</v>
      </c>
      <c r="I1710" s="42">
        <v>851.99</v>
      </c>
      <c r="J1710" s="42"/>
      <c r="K1710" s="42"/>
      <c r="L1710" s="42">
        <v>851.99</v>
      </c>
      <c r="N1710" s="42"/>
    </row>
    <row r="1711" spans="1:14" x14ac:dyDescent="0.25">
      <c r="A1711" s="1">
        <v>46070</v>
      </c>
      <c r="B1711">
        <v>3</v>
      </c>
      <c r="C1711" t="s">
        <v>542</v>
      </c>
      <c r="D1711" t="s">
        <v>336</v>
      </c>
      <c r="E1711" t="s">
        <v>521</v>
      </c>
      <c r="F1711" t="s">
        <v>522</v>
      </c>
      <c r="G1711" t="s">
        <v>523</v>
      </c>
      <c r="I1711" s="42">
        <v>1251.99</v>
      </c>
      <c r="J1711" s="42"/>
      <c r="K1711" s="42"/>
      <c r="L1711" s="42">
        <v>1296.99</v>
      </c>
      <c r="N1711" s="42">
        <v>1251.99</v>
      </c>
    </row>
    <row r="1712" spans="1:14" x14ac:dyDescent="0.25">
      <c r="A1712" s="1">
        <v>46070</v>
      </c>
      <c r="B1712">
        <v>3</v>
      </c>
      <c r="C1712" t="s">
        <v>541</v>
      </c>
      <c r="D1712" t="s">
        <v>10</v>
      </c>
      <c r="E1712" t="s">
        <v>421</v>
      </c>
      <c r="F1712" t="s">
        <v>422</v>
      </c>
      <c r="G1712" t="s">
        <v>346</v>
      </c>
      <c r="I1712" s="42">
        <v>1351.99</v>
      </c>
      <c r="J1712" s="42"/>
      <c r="K1712" s="42"/>
      <c r="L1712" s="42">
        <v>1351.99</v>
      </c>
      <c r="N1712" s="42"/>
    </row>
    <row r="1713" spans="1:14" x14ac:dyDescent="0.25">
      <c r="A1713" s="1">
        <v>46070</v>
      </c>
      <c r="B1713">
        <v>3</v>
      </c>
      <c r="C1713" t="s">
        <v>542</v>
      </c>
      <c r="D1713" t="s">
        <v>99</v>
      </c>
      <c r="E1713" t="s">
        <v>317</v>
      </c>
      <c r="F1713" t="s">
        <v>101</v>
      </c>
      <c r="G1713" t="s">
        <v>346</v>
      </c>
      <c r="I1713" s="42">
        <v>901.99</v>
      </c>
      <c r="J1713" s="42"/>
      <c r="K1713" s="42"/>
      <c r="L1713" s="42">
        <v>901.99</v>
      </c>
      <c r="N1713" s="42"/>
    </row>
    <row r="1714" spans="1:14" x14ac:dyDescent="0.25">
      <c r="A1714" s="1">
        <v>46070</v>
      </c>
      <c r="B1714">
        <v>3</v>
      </c>
      <c r="C1714" t="s">
        <v>542</v>
      </c>
      <c r="D1714" t="s">
        <v>89</v>
      </c>
      <c r="E1714" t="s">
        <v>495</v>
      </c>
      <c r="F1714" t="s">
        <v>33</v>
      </c>
      <c r="G1714" t="s">
        <v>349</v>
      </c>
      <c r="I1714" s="42">
        <v>1251.99</v>
      </c>
      <c r="J1714" s="42"/>
      <c r="K1714" s="42"/>
      <c r="L1714" s="42">
        <v>1251.99</v>
      </c>
      <c r="N1714" s="42"/>
    </row>
    <row r="1715" spans="1:14" x14ac:dyDescent="0.25">
      <c r="A1715" s="1">
        <v>46070</v>
      </c>
      <c r="B1715">
        <v>3</v>
      </c>
      <c r="C1715" t="s">
        <v>542</v>
      </c>
      <c r="D1715" t="s">
        <v>336</v>
      </c>
      <c r="E1715" t="s">
        <v>367</v>
      </c>
      <c r="F1715" t="s">
        <v>52</v>
      </c>
      <c r="G1715" t="s">
        <v>346</v>
      </c>
      <c r="I1715" s="42">
        <v>746.99</v>
      </c>
      <c r="J1715" s="42"/>
      <c r="K1715" s="42"/>
      <c r="L1715" s="42">
        <v>746.99</v>
      </c>
      <c r="N1715" s="42"/>
    </row>
    <row r="1716" spans="1:14" x14ac:dyDescent="0.25">
      <c r="A1716" s="1">
        <v>46070</v>
      </c>
      <c r="B1716">
        <v>3</v>
      </c>
      <c r="C1716" t="s">
        <v>542</v>
      </c>
      <c r="D1716" t="s">
        <v>99</v>
      </c>
      <c r="E1716" t="s">
        <v>533</v>
      </c>
      <c r="F1716" t="s">
        <v>211</v>
      </c>
      <c r="G1716" t="s">
        <v>346</v>
      </c>
      <c r="I1716" s="42">
        <v>746.99</v>
      </c>
      <c r="J1716" s="42"/>
      <c r="K1716" s="42"/>
      <c r="L1716" s="42">
        <v>1241.99</v>
      </c>
      <c r="N1716" s="42">
        <v>746.99</v>
      </c>
    </row>
    <row r="1717" spans="1:14" x14ac:dyDescent="0.25">
      <c r="A1717" s="1">
        <v>46070</v>
      </c>
      <c r="B1717">
        <v>3</v>
      </c>
      <c r="C1717" t="s">
        <v>541</v>
      </c>
      <c r="D1717" t="s">
        <v>10</v>
      </c>
      <c r="E1717" t="s">
        <v>509</v>
      </c>
      <c r="F1717" t="s">
        <v>12</v>
      </c>
      <c r="G1717" t="s">
        <v>346</v>
      </c>
      <c r="I1717" s="42">
        <v>746.99</v>
      </c>
      <c r="J1717" s="42"/>
      <c r="K1717" s="42"/>
      <c r="L1717" s="42">
        <v>746.99</v>
      </c>
      <c r="N1717" s="42"/>
    </row>
    <row r="1718" spans="1:14" x14ac:dyDescent="0.25">
      <c r="A1718" s="1">
        <v>46070</v>
      </c>
      <c r="B1718">
        <v>3</v>
      </c>
      <c r="C1718" t="s">
        <v>542</v>
      </c>
      <c r="D1718" t="s">
        <v>99</v>
      </c>
      <c r="E1718" t="s">
        <v>513</v>
      </c>
      <c r="F1718" t="s">
        <v>514</v>
      </c>
      <c r="G1718" t="s">
        <v>515</v>
      </c>
      <c r="I1718" s="42">
        <v>746.99</v>
      </c>
      <c r="J1718" s="42"/>
      <c r="K1718" s="42"/>
      <c r="L1718" s="42">
        <v>746.99</v>
      </c>
      <c r="M1718" s="37">
        <v>530.94000000000005</v>
      </c>
      <c r="N1718" s="42"/>
    </row>
    <row r="1719" spans="1:14" x14ac:dyDescent="0.25">
      <c r="A1719" s="1">
        <v>46070</v>
      </c>
      <c r="B1719">
        <v>3</v>
      </c>
      <c r="C1719" t="s">
        <v>542</v>
      </c>
      <c r="D1719" t="s">
        <v>99</v>
      </c>
      <c r="E1719" t="s">
        <v>527</v>
      </c>
      <c r="F1719" t="s">
        <v>158</v>
      </c>
      <c r="G1719" t="s">
        <v>346</v>
      </c>
      <c r="I1719" s="42">
        <v>746.99</v>
      </c>
      <c r="J1719" s="42"/>
      <c r="K1719" s="42"/>
      <c r="L1719" s="42">
        <v>746.99</v>
      </c>
      <c r="N1719" s="42"/>
    </row>
    <row r="1720" spans="1:14" x14ac:dyDescent="0.25">
      <c r="A1720" s="1">
        <v>46070</v>
      </c>
      <c r="B1720">
        <v>3</v>
      </c>
      <c r="C1720" t="s">
        <v>542</v>
      </c>
      <c r="D1720" t="s">
        <v>99</v>
      </c>
      <c r="E1720" t="s">
        <v>320</v>
      </c>
      <c r="F1720" t="s">
        <v>55</v>
      </c>
      <c r="G1720" t="s">
        <v>346</v>
      </c>
      <c r="I1720" s="42">
        <v>746.99</v>
      </c>
      <c r="J1720" s="42"/>
      <c r="K1720" s="42"/>
      <c r="L1720" s="42">
        <v>746.99</v>
      </c>
      <c r="N1720" s="42"/>
    </row>
    <row r="1721" spans="1:14" x14ac:dyDescent="0.25">
      <c r="A1721" s="1">
        <v>46070</v>
      </c>
      <c r="B1721">
        <v>3</v>
      </c>
      <c r="C1721" t="s">
        <v>542</v>
      </c>
      <c r="D1721" t="s">
        <v>336</v>
      </c>
      <c r="E1721" t="s">
        <v>528</v>
      </c>
      <c r="F1721" t="s">
        <v>158</v>
      </c>
      <c r="G1721" t="s">
        <v>346</v>
      </c>
      <c r="I1721" s="42">
        <v>746.99</v>
      </c>
      <c r="J1721" s="42"/>
      <c r="K1721" s="42"/>
      <c r="L1721" s="42">
        <v>746.99</v>
      </c>
      <c r="N1721" s="42"/>
    </row>
    <row r="1722" spans="1:14" x14ac:dyDescent="0.25">
      <c r="A1722" s="1">
        <v>46070</v>
      </c>
      <c r="B1722">
        <v>3</v>
      </c>
      <c r="C1722" t="s">
        <v>542</v>
      </c>
      <c r="D1722" t="s">
        <v>99</v>
      </c>
      <c r="E1722" t="s">
        <v>321</v>
      </c>
      <c r="F1722" t="s">
        <v>158</v>
      </c>
      <c r="G1722" t="s">
        <v>346</v>
      </c>
      <c r="I1722" s="42">
        <v>1251.99</v>
      </c>
      <c r="J1722" s="42"/>
      <c r="K1722" s="42"/>
      <c r="L1722" s="42">
        <v>1251.99</v>
      </c>
      <c r="N1722" s="42"/>
    </row>
    <row r="1723" spans="1:14" x14ac:dyDescent="0.25">
      <c r="A1723" s="1">
        <v>46070</v>
      </c>
      <c r="B1723">
        <v>3</v>
      </c>
      <c r="C1723" t="s">
        <v>542</v>
      </c>
      <c r="D1723" t="s">
        <v>336</v>
      </c>
      <c r="E1723" t="s">
        <v>530</v>
      </c>
      <c r="F1723" t="s">
        <v>52</v>
      </c>
      <c r="G1723" t="s">
        <v>515</v>
      </c>
      <c r="I1723" s="42"/>
      <c r="J1723" s="42"/>
      <c r="K1723" s="42"/>
      <c r="L1723" s="42">
        <v>0</v>
      </c>
      <c r="N1723" s="42"/>
    </row>
    <row r="1724" spans="1:14" x14ac:dyDescent="0.25">
      <c r="A1724" s="1">
        <v>46070</v>
      </c>
      <c r="B1724">
        <v>3</v>
      </c>
      <c r="C1724" t="s">
        <v>542</v>
      </c>
      <c r="D1724" t="s">
        <v>99</v>
      </c>
      <c r="E1724" t="s">
        <v>534</v>
      </c>
      <c r="F1724" t="s">
        <v>535</v>
      </c>
      <c r="G1724" t="s">
        <v>493</v>
      </c>
      <c r="I1724" s="42">
        <v>801.99</v>
      </c>
      <c r="J1724" s="42"/>
      <c r="K1724" s="42"/>
      <c r="L1724" s="42">
        <v>801.99</v>
      </c>
      <c r="N1724" s="42"/>
    </row>
    <row r="1725" spans="1:14" x14ac:dyDescent="0.25">
      <c r="A1725" s="1">
        <v>46070</v>
      </c>
      <c r="B1725">
        <v>3</v>
      </c>
      <c r="C1725" t="s">
        <v>542</v>
      </c>
      <c r="D1725" t="s">
        <v>336</v>
      </c>
      <c r="E1725" t="s">
        <v>537</v>
      </c>
      <c r="F1725" t="s">
        <v>407</v>
      </c>
      <c r="G1725" t="s">
        <v>346</v>
      </c>
      <c r="I1725" s="42">
        <v>1251.99</v>
      </c>
      <c r="J1725" s="42"/>
      <c r="K1725" s="42"/>
      <c r="L1725" s="42">
        <v>1251.99</v>
      </c>
      <c r="N1725" s="42"/>
    </row>
    <row r="1726" spans="1:14" x14ac:dyDescent="0.25">
      <c r="A1726" s="1">
        <v>46070</v>
      </c>
      <c r="B1726">
        <v>3</v>
      </c>
      <c r="C1726" t="s">
        <v>542</v>
      </c>
      <c r="D1726" t="s">
        <v>99</v>
      </c>
      <c r="E1726" t="s">
        <v>51</v>
      </c>
      <c r="F1726" t="s">
        <v>52</v>
      </c>
      <c r="G1726" t="s">
        <v>346</v>
      </c>
      <c r="I1726" s="42">
        <v>746.99</v>
      </c>
      <c r="J1726" s="42"/>
      <c r="K1726" s="42"/>
      <c r="L1726" s="42">
        <v>746.99</v>
      </c>
      <c r="N1726" s="42"/>
    </row>
    <row r="1727" spans="1:14" x14ac:dyDescent="0.25">
      <c r="A1727" s="1">
        <v>46070</v>
      </c>
      <c r="B1727">
        <v>3</v>
      </c>
      <c r="C1727" t="s">
        <v>542</v>
      </c>
      <c r="D1727" t="s">
        <v>336</v>
      </c>
      <c r="E1727" t="s">
        <v>539</v>
      </c>
      <c r="F1727" t="s">
        <v>55</v>
      </c>
      <c r="G1727" t="s">
        <v>493</v>
      </c>
      <c r="I1727" s="42"/>
      <c r="J1727" s="42"/>
      <c r="K1727" s="42"/>
      <c r="L1727" s="42"/>
      <c r="N1727" s="42"/>
    </row>
    <row r="1728" spans="1:14" x14ac:dyDescent="0.25">
      <c r="A1728" s="1">
        <v>46070</v>
      </c>
      <c r="B1728">
        <v>3</v>
      </c>
      <c r="C1728" t="s">
        <v>541</v>
      </c>
      <c r="D1728" t="s">
        <v>10</v>
      </c>
      <c r="E1728" t="s">
        <v>11</v>
      </c>
      <c r="F1728" t="s">
        <v>12</v>
      </c>
      <c r="G1728" t="s">
        <v>13</v>
      </c>
      <c r="I1728" s="42">
        <v>746.99</v>
      </c>
      <c r="J1728" s="42"/>
      <c r="K1728" s="42">
        <v>108.42</v>
      </c>
      <c r="L1728" s="42">
        <v>638.57000000000005</v>
      </c>
      <c r="N1728" s="42">
        <v>638.57000000000005</v>
      </c>
    </row>
    <row r="1729" spans="1:14" x14ac:dyDescent="0.25">
      <c r="A1729" s="1">
        <v>46070</v>
      </c>
      <c r="B1729">
        <v>3</v>
      </c>
      <c r="C1729" t="s">
        <v>541</v>
      </c>
      <c r="D1729" t="s">
        <v>10</v>
      </c>
      <c r="E1729" t="s">
        <v>15</v>
      </c>
      <c r="F1729" t="s">
        <v>16</v>
      </c>
      <c r="G1729" t="s">
        <v>13</v>
      </c>
      <c r="I1729" s="42">
        <v>1251.99</v>
      </c>
      <c r="J1729" s="42">
        <v>30.01</v>
      </c>
      <c r="K1729" s="42"/>
      <c r="L1729" s="42">
        <v>1282</v>
      </c>
      <c r="N1729" s="42">
        <v>1282</v>
      </c>
    </row>
    <row r="1730" spans="1:14" x14ac:dyDescent="0.25">
      <c r="A1730" s="1">
        <v>46070</v>
      </c>
      <c r="B1730">
        <v>3</v>
      </c>
      <c r="C1730" t="s">
        <v>541</v>
      </c>
      <c r="D1730" t="s">
        <v>10</v>
      </c>
      <c r="E1730" t="s">
        <v>18</v>
      </c>
      <c r="F1730" t="s">
        <v>12</v>
      </c>
      <c r="G1730" t="s">
        <v>13</v>
      </c>
      <c r="I1730" s="42">
        <v>746.99</v>
      </c>
      <c r="J1730" s="42">
        <v>29.66</v>
      </c>
      <c r="K1730" s="42"/>
      <c r="L1730" s="42">
        <v>776.65</v>
      </c>
      <c r="N1730" s="42">
        <v>776.65</v>
      </c>
    </row>
    <row r="1731" spans="1:14" x14ac:dyDescent="0.25">
      <c r="A1731" s="1">
        <v>46070</v>
      </c>
      <c r="B1731">
        <v>3</v>
      </c>
      <c r="C1731" t="s">
        <v>541</v>
      </c>
      <c r="D1731" t="s">
        <v>10</v>
      </c>
      <c r="E1731" t="s">
        <v>20</v>
      </c>
      <c r="F1731" t="s">
        <v>21</v>
      </c>
      <c r="G1731" t="s">
        <v>22</v>
      </c>
      <c r="I1731" s="42">
        <v>651.99</v>
      </c>
      <c r="J1731" s="42"/>
      <c r="K1731" s="42">
        <v>251.99</v>
      </c>
      <c r="L1731" s="42">
        <v>400</v>
      </c>
      <c r="N1731" s="42">
        <v>400</v>
      </c>
    </row>
    <row r="1732" spans="1:14" x14ac:dyDescent="0.25">
      <c r="A1732" s="1">
        <v>46070</v>
      </c>
      <c r="B1732">
        <v>3</v>
      </c>
      <c r="C1732" t="s">
        <v>542</v>
      </c>
      <c r="D1732" t="s">
        <v>136</v>
      </c>
      <c r="E1732" t="s">
        <v>24</v>
      </c>
      <c r="F1732" t="s">
        <v>25</v>
      </c>
      <c r="G1732" t="s">
        <v>13</v>
      </c>
      <c r="I1732" s="42">
        <v>1450</v>
      </c>
      <c r="J1732" s="42"/>
      <c r="K1732" s="42"/>
      <c r="L1732" s="42">
        <v>1450</v>
      </c>
      <c r="N1732" s="42"/>
    </row>
    <row r="1733" spans="1:14" x14ac:dyDescent="0.25">
      <c r="A1733" s="1">
        <v>46070</v>
      </c>
      <c r="B1733">
        <v>3</v>
      </c>
      <c r="C1733" t="s">
        <v>541</v>
      </c>
      <c r="D1733" t="s">
        <v>10</v>
      </c>
      <c r="E1733" t="s">
        <v>27</v>
      </c>
      <c r="F1733" t="s">
        <v>28</v>
      </c>
      <c r="G1733" t="s">
        <v>13</v>
      </c>
      <c r="I1733" s="42">
        <v>931.99</v>
      </c>
      <c r="J1733" s="42"/>
      <c r="K1733" s="42">
        <v>1.99</v>
      </c>
      <c r="L1733" s="42">
        <v>930</v>
      </c>
      <c r="N1733" s="42">
        <v>930</v>
      </c>
    </row>
    <row r="1734" spans="1:14" x14ac:dyDescent="0.25">
      <c r="A1734" s="1">
        <v>46070</v>
      </c>
      <c r="B1734">
        <v>3</v>
      </c>
      <c r="C1734" t="s">
        <v>541</v>
      </c>
      <c r="D1734" t="s">
        <v>10</v>
      </c>
      <c r="E1734" t="s">
        <v>30</v>
      </c>
      <c r="F1734" t="s">
        <v>28</v>
      </c>
      <c r="G1734" t="s">
        <v>13</v>
      </c>
      <c r="I1734" s="42">
        <v>931.99</v>
      </c>
      <c r="J1734" s="42"/>
      <c r="K1734" s="42">
        <v>1.99</v>
      </c>
      <c r="L1734" s="42">
        <v>930</v>
      </c>
      <c r="N1734" s="42">
        <v>930</v>
      </c>
    </row>
    <row r="1735" spans="1:14" x14ac:dyDescent="0.25">
      <c r="A1735" s="1">
        <v>46070</v>
      </c>
      <c r="B1735">
        <v>3</v>
      </c>
      <c r="C1735" t="s">
        <v>541</v>
      </c>
      <c r="D1735" t="s">
        <v>10</v>
      </c>
      <c r="E1735" t="s">
        <v>32</v>
      </c>
      <c r="F1735" t="s">
        <v>33</v>
      </c>
      <c r="G1735" t="s">
        <v>13</v>
      </c>
      <c r="I1735" s="42">
        <v>851.99</v>
      </c>
      <c r="J1735" s="42"/>
      <c r="K1735" s="42"/>
      <c r="L1735" s="42">
        <v>851.99</v>
      </c>
      <c r="N1735" s="42">
        <v>851.99</v>
      </c>
    </row>
    <row r="1736" spans="1:14" x14ac:dyDescent="0.25">
      <c r="A1736" s="1">
        <v>46070</v>
      </c>
      <c r="B1736">
        <v>3</v>
      </c>
      <c r="C1736" t="s">
        <v>541</v>
      </c>
      <c r="D1736" t="s">
        <v>10</v>
      </c>
      <c r="E1736" t="s">
        <v>36</v>
      </c>
      <c r="F1736" t="s">
        <v>37</v>
      </c>
      <c r="G1736" t="s">
        <v>38</v>
      </c>
      <c r="I1736" s="42">
        <v>746.99</v>
      </c>
      <c r="J1736" s="42"/>
      <c r="K1736" s="42">
        <v>1.99</v>
      </c>
      <c r="L1736" s="42">
        <v>745</v>
      </c>
      <c r="N1736" s="42">
        <v>745</v>
      </c>
    </row>
    <row r="1737" spans="1:14" x14ac:dyDescent="0.25">
      <c r="A1737" s="1">
        <v>46070</v>
      </c>
      <c r="B1737">
        <v>3</v>
      </c>
      <c r="C1737" t="s">
        <v>541</v>
      </c>
      <c r="D1737" t="s">
        <v>10</v>
      </c>
      <c r="E1737" t="s">
        <v>40</v>
      </c>
      <c r="F1737" t="s">
        <v>41</v>
      </c>
      <c r="G1737" t="s">
        <v>42</v>
      </c>
      <c r="I1737" s="42">
        <v>746.99</v>
      </c>
      <c r="J1737" s="42"/>
      <c r="K1737" s="42">
        <v>1.99</v>
      </c>
      <c r="L1737" s="42">
        <v>745</v>
      </c>
      <c r="N1737" s="42">
        <v>745</v>
      </c>
    </row>
    <row r="1738" spans="1:14" x14ac:dyDescent="0.25">
      <c r="A1738" s="1">
        <v>46070</v>
      </c>
      <c r="B1738">
        <v>3</v>
      </c>
      <c r="C1738" t="s">
        <v>541</v>
      </c>
      <c r="D1738" t="s">
        <v>10</v>
      </c>
      <c r="E1738" t="s">
        <v>44</v>
      </c>
      <c r="F1738" t="s">
        <v>12</v>
      </c>
      <c r="G1738" t="s">
        <v>13</v>
      </c>
      <c r="I1738" s="42">
        <v>746.99</v>
      </c>
      <c r="J1738" s="42"/>
      <c r="K1738" s="42"/>
      <c r="L1738" s="42">
        <v>746.99</v>
      </c>
      <c r="N1738" s="42">
        <v>746.99</v>
      </c>
    </row>
    <row r="1739" spans="1:14" x14ac:dyDescent="0.25">
      <c r="A1739" s="1">
        <v>46070</v>
      </c>
      <c r="B1739">
        <v>3</v>
      </c>
      <c r="C1739" t="s">
        <v>542</v>
      </c>
      <c r="D1739" t="s">
        <v>99</v>
      </c>
      <c r="E1739" t="s">
        <v>51</v>
      </c>
      <c r="F1739" t="s">
        <v>52</v>
      </c>
      <c r="G1739" t="s">
        <v>13</v>
      </c>
      <c r="I1739" s="42">
        <v>1251.99</v>
      </c>
      <c r="J1739" s="42"/>
      <c r="K1739" s="42"/>
      <c r="L1739" s="42">
        <v>1251.99</v>
      </c>
      <c r="N1739" s="42"/>
    </row>
    <row r="1740" spans="1:14" x14ac:dyDescent="0.25">
      <c r="A1740" s="1">
        <v>46070</v>
      </c>
      <c r="B1740">
        <v>3</v>
      </c>
      <c r="C1740" t="s">
        <v>541</v>
      </c>
      <c r="D1740" t="s">
        <v>10</v>
      </c>
      <c r="E1740" t="s">
        <v>54</v>
      </c>
      <c r="F1740" t="s">
        <v>55</v>
      </c>
      <c r="G1740" t="s">
        <v>56</v>
      </c>
      <c r="I1740" s="42">
        <v>746.99</v>
      </c>
      <c r="J1740" s="42">
        <v>3.01</v>
      </c>
      <c r="K1740" s="42"/>
      <c r="L1740" s="42">
        <v>750</v>
      </c>
      <c r="N1740" s="42">
        <v>750</v>
      </c>
    </row>
    <row r="1741" spans="1:14" x14ac:dyDescent="0.25">
      <c r="A1741" s="1">
        <v>46070</v>
      </c>
      <c r="B1741">
        <v>3</v>
      </c>
      <c r="C1741" t="s">
        <v>541</v>
      </c>
      <c r="D1741" t="s">
        <v>10</v>
      </c>
      <c r="E1741" t="s">
        <v>58</v>
      </c>
      <c r="F1741" t="s">
        <v>37</v>
      </c>
      <c r="G1741" t="s">
        <v>38</v>
      </c>
      <c r="I1741" s="42">
        <v>746.99</v>
      </c>
      <c r="J1741" s="42"/>
      <c r="K1741" s="42"/>
      <c r="L1741" s="42">
        <v>746.99</v>
      </c>
      <c r="N1741" s="42"/>
    </row>
    <row r="1742" spans="1:14" x14ac:dyDescent="0.25">
      <c r="A1742" s="1">
        <v>46070</v>
      </c>
      <c r="B1742">
        <v>3</v>
      </c>
      <c r="C1742" t="s">
        <v>541</v>
      </c>
      <c r="D1742" t="s">
        <v>10</v>
      </c>
      <c r="E1742" t="s">
        <v>60</v>
      </c>
      <c r="F1742" t="s">
        <v>52</v>
      </c>
      <c r="G1742" t="s">
        <v>38</v>
      </c>
      <c r="I1742" s="42">
        <v>1251.99</v>
      </c>
      <c r="J1742" s="42"/>
      <c r="K1742" s="42"/>
      <c r="L1742" s="42">
        <v>1251.99</v>
      </c>
      <c r="N1742" s="42">
        <v>1251.99</v>
      </c>
    </row>
    <row r="1743" spans="1:14" x14ac:dyDescent="0.25">
      <c r="A1743" s="1">
        <v>46070</v>
      </c>
      <c r="B1743">
        <v>3</v>
      </c>
      <c r="C1743" t="s">
        <v>541</v>
      </c>
      <c r="D1743" t="s">
        <v>10</v>
      </c>
      <c r="E1743" t="s">
        <v>62</v>
      </c>
      <c r="F1743" t="s">
        <v>12</v>
      </c>
      <c r="G1743" t="s">
        <v>13</v>
      </c>
      <c r="I1743" s="42">
        <v>746.99</v>
      </c>
      <c r="J1743" s="42">
        <v>3.01</v>
      </c>
      <c r="K1743" s="42"/>
      <c r="L1743" s="42">
        <v>750</v>
      </c>
      <c r="N1743" s="42">
        <v>750</v>
      </c>
    </row>
    <row r="1744" spans="1:14" x14ac:dyDescent="0.25">
      <c r="A1744" s="1">
        <v>46070</v>
      </c>
      <c r="B1744">
        <v>3</v>
      </c>
      <c r="C1744" t="s">
        <v>541</v>
      </c>
      <c r="D1744" t="s">
        <v>10</v>
      </c>
      <c r="E1744" t="s">
        <v>64</v>
      </c>
      <c r="F1744" t="s">
        <v>65</v>
      </c>
      <c r="G1744" t="s">
        <v>66</v>
      </c>
      <c r="I1744" s="42">
        <v>1381.99</v>
      </c>
      <c r="J1744" s="42">
        <v>30</v>
      </c>
      <c r="K1744" s="42"/>
      <c r="L1744" s="42">
        <v>1411.99</v>
      </c>
      <c r="N1744" s="42">
        <v>1411.99</v>
      </c>
    </row>
    <row r="1745" spans="1:14" x14ac:dyDescent="0.25">
      <c r="A1745" s="1">
        <v>46070</v>
      </c>
      <c r="B1745">
        <v>3</v>
      </c>
      <c r="C1745" t="s">
        <v>541</v>
      </c>
      <c r="D1745" t="s">
        <v>10</v>
      </c>
      <c r="E1745" t="s">
        <v>68</v>
      </c>
      <c r="F1745" t="s">
        <v>69</v>
      </c>
      <c r="G1745" t="s">
        <v>70</v>
      </c>
      <c r="I1745" s="42">
        <v>801.99</v>
      </c>
      <c r="J1745" s="42">
        <v>60.01</v>
      </c>
      <c r="K1745" s="42"/>
      <c r="L1745" s="42">
        <v>862</v>
      </c>
      <c r="N1745" s="42">
        <v>862</v>
      </c>
    </row>
    <row r="1746" spans="1:14" x14ac:dyDescent="0.25">
      <c r="A1746" s="1">
        <v>46070</v>
      </c>
      <c r="B1746">
        <v>3</v>
      </c>
      <c r="C1746" t="s">
        <v>541</v>
      </c>
      <c r="D1746" t="s">
        <v>10</v>
      </c>
      <c r="E1746" t="s">
        <v>72</v>
      </c>
      <c r="F1746" t="s">
        <v>73</v>
      </c>
      <c r="G1746" t="s">
        <v>13</v>
      </c>
      <c r="I1746" s="42">
        <v>1850</v>
      </c>
      <c r="J1746" s="42"/>
      <c r="K1746" s="42"/>
      <c r="L1746" s="42">
        <v>1850</v>
      </c>
      <c r="N1746" s="42">
        <v>1850</v>
      </c>
    </row>
    <row r="1747" spans="1:14" x14ac:dyDescent="0.25">
      <c r="A1747" s="1">
        <v>46070</v>
      </c>
      <c r="B1747">
        <v>3</v>
      </c>
      <c r="C1747" t="s">
        <v>542</v>
      </c>
      <c r="D1747" t="s">
        <v>234</v>
      </c>
      <c r="E1747" t="s">
        <v>75</v>
      </c>
      <c r="F1747" t="s">
        <v>76</v>
      </c>
      <c r="G1747" t="s">
        <v>77</v>
      </c>
      <c r="I1747" s="42">
        <v>1451.99</v>
      </c>
      <c r="J1747" s="42"/>
      <c r="K1747" s="42"/>
      <c r="L1747" s="42">
        <v>1451.99</v>
      </c>
      <c r="N1747" s="42"/>
    </row>
    <row r="1748" spans="1:14" x14ac:dyDescent="0.25">
      <c r="A1748" s="1">
        <v>46070</v>
      </c>
      <c r="B1748">
        <v>3</v>
      </c>
      <c r="C1748" t="s">
        <v>541</v>
      </c>
      <c r="D1748" t="s">
        <v>10</v>
      </c>
      <c r="E1748" t="s">
        <v>79</v>
      </c>
      <c r="F1748" t="s">
        <v>76</v>
      </c>
      <c r="G1748" t="s">
        <v>77</v>
      </c>
      <c r="I1748" s="42">
        <v>1451.99</v>
      </c>
      <c r="J1748" s="42"/>
      <c r="K1748" s="42"/>
      <c r="L1748" s="42">
        <v>1451.99</v>
      </c>
      <c r="N1748" s="42">
        <v>1451.99</v>
      </c>
    </row>
    <row r="1749" spans="1:14" x14ac:dyDescent="0.25">
      <c r="A1749" s="1">
        <v>46070</v>
      </c>
      <c r="B1749">
        <v>3</v>
      </c>
      <c r="C1749" t="s">
        <v>541</v>
      </c>
      <c r="D1749" t="s">
        <v>10</v>
      </c>
      <c r="E1749" t="s">
        <v>46</v>
      </c>
      <c r="F1749" t="s">
        <v>12</v>
      </c>
      <c r="G1749" t="s">
        <v>13</v>
      </c>
      <c r="I1749" s="42">
        <v>746.99</v>
      </c>
      <c r="J1749" s="42">
        <v>0.01</v>
      </c>
      <c r="K1749" s="42"/>
      <c r="L1749" s="42">
        <v>747</v>
      </c>
      <c r="N1749" s="42">
        <v>747</v>
      </c>
    </row>
    <row r="1750" spans="1:14" x14ac:dyDescent="0.25">
      <c r="A1750" s="1">
        <v>46070</v>
      </c>
      <c r="B1750">
        <v>3</v>
      </c>
      <c r="C1750" t="s">
        <v>541</v>
      </c>
      <c r="D1750" t="s">
        <v>10</v>
      </c>
      <c r="E1750" t="s">
        <v>162</v>
      </c>
      <c r="F1750" t="s">
        <v>158</v>
      </c>
      <c r="G1750" t="s">
        <v>104</v>
      </c>
      <c r="I1750" s="42">
        <v>746.99</v>
      </c>
      <c r="J1750" s="42"/>
      <c r="K1750" s="42"/>
      <c r="L1750" s="42">
        <v>1241.99</v>
      </c>
      <c r="N1750" s="42">
        <v>746.99</v>
      </c>
    </row>
    <row r="1751" spans="1:14" x14ac:dyDescent="0.25">
      <c r="A1751" s="1">
        <v>46070</v>
      </c>
      <c r="B1751">
        <v>3</v>
      </c>
      <c r="C1751" t="s">
        <v>542</v>
      </c>
      <c r="D1751" t="s">
        <v>336</v>
      </c>
      <c r="E1751" t="s">
        <v>171</v>
      </c>
      <c r="F1751" t="s">
        <v>52</v>
      </c>
      <c r="G1751" t="s">
        <v>13</v>
      </c>
      <c r="I1751" s="42">
        <v>1251.99</v>
      </c>
      <c r="J1751" s="42"/>
      <c r="K1751" s="42"/>
      <c r="L1751" s="42">
        <v>1251.99</v>
      </c>
      <c r="N1751" s="42"/>
    </row>
    <row r="1752" spans="1:14" x14ac:dyDescent="0.25">
      <c r="A1752" s="1">
        <v>46070</v>
      </c>
      <c r="B1752">
        <v>3</v>
      </c>
      <c r="C1752" t="s">
        <v>541</v>
      </c>
      <c r="D1752" t="s">
        <v>10</v>
      </c>
      <c r="E1752" t="s">
        <v>288</v>
      </c>
      <c r="F1752" t="s">
        <v>55</v>
      </c>
      <c r="G1752" t="s">
        <v>104</v>
      </c>
      <c r="I1752" s="42">
        <v>746.99</v>
      </c>
      <c r="J1752" s="42"/>
      <c r="K1752" s="42"/>
      <c r="L1752" s="42">
        <v>746.99</v>
      </c>
      <c r="N1752" s="42">
        <v>746.99</v>
      </c>
    </row>
    <row r="1753" spans="1:14" x14ac:dyDescent="0.25">
      <c r="A1753" s="1">
        <v>46070</v>
      </c>
      <c r="B1753">
        <v>3</v>
      </c>
      <c r="C1753" t="s">
        <v>541</v>
      </c>
      <c r="D1753" t="s">
        <v>10</v>
      </c>
      <c r="E1753" t="s">
        <v>300</v>
      </c>
      <c r="F1753" t="s">
        <v>301</v>
      </c>
      <c r="G1753" t="s">
        <v>104</v>
      </c>
      <c r="I1753" s="42">
        <v>746.99</v>
      </c>
      <c r="J1753" s="42"/>
      <c r="K1753" s="42"/>
      <c r="L1753" s="42">
        <v>746.99</v>
      </c>
      <c r="N1753" s="42">
        <v>746.99</v>
      </c>
    </row>
    <row r="1754" spans="1:14" x14ac:dyDescent="0.25">
      <c r="A1754" s="1">
        <v>46070</v>
      </c>
      <c r="B1754">
        <v>3</v>
      </c>
      <c r="C1754" t="s">
        <v>541</v>
      </c>
      <c r="D1754" t="s">
        <v>10</v>
      </c>
      <c r="E1754" t="s">
        <v>327</v>
      </c>
      <c r="F1754" t="s">
        <v>158</v>
      </c>
      <c r="G1754" t="s">
        <v>22</v>
      </c>
      <c r="I1754" s="42">
        <v>746.99</v>
      </c>
      <c r="J1754" s="42"/>
      <c r="K1754" s="42">
        <v>106.71</v>
      </c>
      <c r="L1754" s="42">
        <v>640.28</v>
      </c>
      <c r="N1754" s="42">
        <v>640.28</v>
      </c>
    </row>
    <row r="1755" spans="1:14" x14ac:dyDescent="0.25">
      <c r="A1755" s="1">
        <v>46070</v>
      </c>
      <c r="B1755">
        <v>3</v>
      </c>
      <c r="C1755" t="s">
        <v>541</v>
      </c>
      <c r="D1755" t="s">
        <v>10</v>
      </c>
      <c r="E1755" t="s">
        <v>81</v>
      </c>
      <c r="F1755" t="s">
        <v>12</v>
      </c>
      <c r="G1755" t="s">
        <v>13</v>
      </c>
      <c r="I1755" s="42">
        <v>746.99</v>
      </c>
      <c r="J1755" s="42">
        <v>180</v>
      </c>
      <c r="K1755" s="42"/>
      <c r="L1755" s="42">
        <v>926.99</v>
      </c>
      <c r="N1755" s="42">
        <v>926.99</v>
      </c>
    </row>
    <row r="1756" spans="1:14" x14ac:dyDescent="0.25">
      <c r="A1756" s="1">
        <v>46070</v>
      </c>
      <c r="B1756">
        <v>3</v>
      </c>
      <c r="C1756" t="s">
        <v>541</v>
      </c>
      <c r="D1756" t="s">
        <v>10</v>
      </c>
      <c r="E1756" t="s">
        <v>83</v>
      </c>
      <c r="F1756" t="s">
        <v>41</v>
      </c>
      <c r="G1756" t="s">
        <v>13</v>
      </c>
      <c r="I1756" s="42">
        <v>746.99</v>
      </c>
      <c r="J1756" s="42">
        <v>30</v>
      </c>
      <c r="K1756" s="42"/>
      <c r="L1756" s="42">
        <v>776.99</v>
      </c>
      <c r="N1756" s="42">
        <v>776.99</v>
      </c>
    </row>
    <row r="1757" spans="1:14" x14ac:dyDescent="0.25">
      <c r="A1757" s="1">
        <v>46070</v>
      </c>
      <c r="B1757">
        <v>3</v>
      </c>
      <c r="C1757" t="s">
        <v>541</v>
      </c>
      <c r="D1757" t="s">
        <v>10</v>
      </c>
      <c r="E1757" t="s">
        <v>85</v>
      </c>
      <c r="F1757" t="s">
        <v>28</v>
      </c>
      <c r="G1757" t="s">
        <v>66</v>
      </c>
      <c r="I1757" s="42">
        <v>931.99</v>
      </c>
      <c r="J1757" s="42">
        <v>180.01</v>
      </c>
      <c r="K1757" s="42"/>
      <c r="L1757" s="42">
        <v>1112</v>
      </c>
      <c r="N1757" s="42">
        <v>1112</v>
      </c>
    </row>
    <row r="1758" spans="1:14" x14ac:dyDescent="0.25">
      <c r="A1758" s="1">
        <v>46070</v>
      </c>
      <c r="B1758">
        <v>3</v>
      </c>
      <c r="C1758" t="s">
        <v>541</v>
      </c>
      <c r="D1758" t="s">
        <v>10</v>
      </c>
      <c r="E1758" t="s">
        <v>87</v>
      </c>
      <c r="F1758" t="s">
        <v>28</v>
      </c>
      <c r="G1758" t="s">
        <v>13</v>
      </c>
      <c r="I1758" s="42">
        <v>931.99</v>
      </c>
      <c r="J1758" s="42"/>
      <c r="K1758" s="42">
        <v>1.99</v>
      </c>
      <c r="L1758" s="42">
        <v>930</v>
      </c>
      <c r="N1758" s="42">
        <v>930</v>
      </c>
    </row>
    <row r="1759" spans="1:14" x14ac:dyDescent="0.25">
      <c r="A1759" s="1">
        <v>46070</v>
      </c>
      <c r="B1759">
        <v>3</v>
      </c>
      <c r="C1759" t="s">
        <v>541</v>
      </c>
      <c r="D1759" t="s">
        <v>10</v>
      </c>
      <c r="E1759" t="s">
        <v>90</v>
      </c>
      <c r="F1759" t="s">
        <v>91</v>
      </c>
      <c r="G1759" t="s">
        <v>22</v>
      </c>
      <c r="I1759" s="42">
        <v>550</v>
      </c>
      <c r="J1759" s="42"/>
      <c r="K1759" s="42"/>
      <c r="L1759" s="42">
        <v>550</v>
      </c>
      <c r="N1759" s="42">
        <v>550</v>
      </c>
    </row>
    <row r="1760" spans="1:14" x14ac:dyDescent="0.25">
      <c r="A1760" s="1">
        <v>46070</v>
      </c>
      <c r="B1760">
        <v>3</v>
      </c>
      <c r="C1760" t="s">
        <v>541</v>
      </c>
      <c r="D1760" t="s">
        <v>10</v>
      </c>
      <c r="E1760" t="s">
        <v>102</v>
      </c>
      <c r="F1760" t="s">
        <v>103</v>
      </c>
      <c r="G1760" t="s">
        <v>104</v>
      </c>
      <c r="I1760" s="42">
        <v>801.99</v>
      </c>
      <c r="J1760" s="42">
        <v>30</v>
      </c>
      <c r="K1760" s="42"/>
      <c r="L1760" s="42">
        <v>831.99</v>
      </c>
      <c r="N1760" s="42">
        <v>831.99</v>
      </c>
    </row>
    <row r="1761" spans="1:14" x14ac:dyDescent="0.25">
      <c r="A1761" s="1">
        <v>46070</v>
      </c>
      <c r="B1761">
        <v>3</v>
      </c>
      <c r="C1761" t="s">
        <v>541</v>
      </c>
      <c r="D1761" t="s">
        <v>10</v>
      </c>
      <c r="E1761" t="s">
        <v>307</v>
      </c>
      <c r="F1761" t="s">
        <v>214</v>
      </c>
      <c r="G1761" t="s">
        <v>66</v>
      </c>
      <c r="I1761" s="42">
        <v>851.99</v>
      </c>
      <c r="J1761" s="42"/>
      <c r="K1761" s="42"/>
      <c r="L1761" s="42">
        <v>851.99</v>
      </c>
      <c r="N1761" s="42">
        <v>851.99</v>
      </c>
    </row>
    <row r="1762" spans="1:14" x14ac:dyDescent="0.25">
      <c r="A1762" s="1">
        <v>46070</v>
      </c>
      <c r="B1762">
        <v>3</v>
      </c>
      <c r="C1762" t="s">
        <v>541</v>
      </c>
      <c r="D1762" t="s">
        <v>10</v>
      </c>
      <c r="E1762" t="s">
        <v>110</v>
      </c>
      <c r="F1762" t="s">
        <v>55</v>
      </c>
      <c r="G1762" t="s">
        <v>111</v>
      </c>
      <c r="I1762" s="42">
        <v>746.99</v>
      </c>
      <c r="J1762" s="42">
        <v>0.01</v>
      </c>
      <c r="K1762" s="42"/>
      <c r="L1762" s="42">
        <v>747</v>
      </c>
      <c r="N1762" s="42">
        <v>747</v>
      </c>
    </row>
    <row r="1763" spans="1:14" x14ac:dyDescent="0.25">
      <c r="A1763" s="1">
        <v>46070</v>
      </c>
      <c r="B1763">
        <v>3</v>
      </c>
      <c r="C1763" t="s">
        <v>541</v>
      </c>
      <c r="D1763" t="s">
        <v>10</v>
      </c>
      <c r="E1763" t="s">
        <v>113</v>
      </c>
      <c r="F1763" t="s">
        <v>12</v>
      </c>
      <c r="G1763" t="s">
        <v>13</v>
      </c>
      <c r="I1763" s="42">
        <v>746.99</v>
      </c>
      <c r="J1763" s="42"/>
      <c r="K1763" s="42">
        <v>1.99</v>
      </c>
      <c r="L1763" s="42">
        <v>745</v>
      </c>
      <c r="N1763" s="42">
        <v>745</v>
      </c>
    </row>
    <row r="1764" spans="1:14" x14ac:dyDescent="0.25">
      <c r="A1764" s="1">
        <v>46070</v>
      </c>
      <c r="B1764">
        <v>3</v>
      </c>
      <c r="C1764" t="s">
        <v>541</v>
      </c>
      <c r="D1764" t="s">
        <v>10</v>
      </c>
      <c r="E1764" t="s">
        <v>118</v>
      </c>
      <c r="F1764" t="s">
        <v>119</v>
      </c>
      <c r="G1764" t="s">
        <v>13</v>
      </c>
      <c r="I1764" s="42">
        <v>851.99</v>
      </c>
      <c r="J1764" s="42"/>
      <c r="K1764" s="42"/>
      <c r="L1764" s="42">
        <v>851.99</v>
      </c>
      <c r="N1764" s="42">
        <v>851.99</v>
      </c>
    </row>
    <row r="1765" spans="1:14" x14ac:dyDescent="0.25">
      <c r="A1765" s="1">
        <v>46070</v>
      </c>
      <c r="B1765">
        <v>3</v>
      </c>
      <c r="C1765" t="s">
        <v>541</v>
      </c>
      <c r="D1765" t="s">
        <v>10</v>
      </c>
      <c r="E1765" t="s">
        <v>302</v>
      </c>
      <c r="F1765" t="s">
        <v>37</v>
      </c>
      <c r="G1765" t="s">
        <v>13</v>
      </c>
      <c r="I1765" s="42">
        <v>746.99</v>
      </c>
      <c r="J1765" s="42"/>
      <c r="K1765" s="42">
        <v>0.99</v>
      </c>
      <c r="L1765" s="42">
        <v>746</v>
      </c>
      <c r="N1765" s="42">
        <v>746</v>
      </c>
    </row>
    <row r="1766" spans="1:14" x14ac:dyDescent="0.25">
      <c r="A1766" s="1">
        <v>46070</v>
      </c>
      <c r="B1766">
        <v>3</v>
      </c>
      <c r="C1766" t="s">
        <v>541</v>
      </c>
      <c r="D1766" t="s">
        <v>10</v>
      </c>
      <c r="E1766" t="s">
        <v>126</v>
      </c>
      <c r="F1766" t="s">
        <v>55</v>
      </c>
      <c r="G1766" t="s">
        <v>56</v>
      </c>
      <c r="I1766" s="42">
        <v>746.99</v>
      </c>
      <c r="J1766" s="42"/>
      <c r="K1766" s="42">
        <v>1.99</v>
      </c>
      <c r="L1766" s="42">
        <v>745</v>
      </c>
      <c r="N1766" s="42">
        <v>745</v>
      </c>
    </row>
    <row r="1767" spans="1:14" x14ac:dyDescent="0.25">
      <c r="A1767" s="1">
        <v>46070</v>
      </c>
      <c r="B1767">
        <v>3</v>
      </c>
      <c r="C1767" t="s">
        <v>541</v>
      </c>
      <c r="D1767" t="s">
        <v>10</v>
      </c>
      <c r="E1767" t="s">
        <v>128</v>
      </c>
      <c r="F1767" t="s">
        <v>25</v>
      </c>
      <c r="G1767" t="s">
        <v>13</v>
      </c>
      <c r="I1767" s="42">
        <v>1351.99</v>
      </c>
      <c r="J1767" s="42"/>
      <c r="K1767" s="42"/>
      <c r="L1767" s="42">
        <v>1351.99</v>
      </c>
      <c r="N1767" s="42">
        <v>1351.99</v>
      </c>
    </row>
    <row r="1768" spans="1:14" x14ac:dyDescent="0.25">
      <c r="A1768" s="1">
        <v>46070</v>
      </c>
      <c r="B1768">
        <v>3</v>
      </c>
      <c r="C1768" t="s">
        <v>541</v>
      </c>
      <c r="D1768" t="s">
        <v>10</v>
      </c>
      <c r="E1768" t="s">
        <v>130</v>
      </c>
      <c r="F1768" t="s">
        <v>28</v>
      </c>
      <c r="G1768" t="s">
        <v>13</v>
      </c>
      <c r="I1768" s="42">
        <v>931.99</v>
      </c>
      <c r="J1768" s="42">
        <v>30</v>
      </c>
      <c r="K1768" s="42"/>
      <c r="L1768" s="42">
        <v>961.99</v>
      </c>
      <c r="N1768" s="42">
        <v>961.99</v>
      </c>
    </row>
    <row r="1769" spans="1:14" x14ac:dyDescent="0.25">
      <c r="A1769" s="1">
        <v>46070</v>
      </c>
      <c r="B1769">
        <v>3</v>
      </c>
      <c r="C1769" t="s">
        <v>541</v>
      </c>
      <c r="D1769" t="s">
        <v>10</v>
      </c>
      <c r="E1769" t="s">
        <v>132</v>
      </c>
      <c r="F1769" t="s">
        <v>76</v>
      </c>
      <c r="G1769" t="s">
        <v>77</v>
      </c>
      <c r="I1769" s="42">
        <v>1451.99</v>
      </c>
      <c r="J1769" s="42">
        <v>90</v>
      </c>
      <c r="K1769" s="42"/>
      <c r="L1769" s="42">
        <v>1541.99</v>
      </c>
      <c r="N1769" s="42">
        <v>1541.99</v>
      </c>
    </row>
    <row r="1770" spans="1:14" x14ac:dyDescent="0.25">
      <c r="A1770" s="1">
        <v>46070</v>
      </c>
      <c r="B1770">
        <v>3</v>
      </c>
      <c r="C1770" t="s">
        <v>541</v>
      </c>
      <c r="D1770" t="s">
        <v>10</v>
      </c>
      <c r="E1770" t="s">
        <v>137</v>
      </c>
      <c r="F1770" t="s">
        <v>12</v>
      </c>
      <c r="G1770" t="s">
        <v>13</v>
      </c>
      <c r="I1770" s="42">
        <v>746.99</v>
      </c>
      <c r="J1770" s="42">
        <v>3.01</v>
      </c>
      <c r="K1770" s="42"/>
      <c r="L1770" s="42">
        <v>750</v>
      </c>
      <c r="N1770" s="42">
        <v>750</v>
      </c>
    </row>
    <row r="1771" spans="1:14" x14ac:dyDescent="0.25">
      <c r="A1771" s="1">
        <v>46070</v>
      </c>
      <c r="B1771">
        <v>3</v>
      </c>
      <c r="C1771" t="s">
        <v>541</v>
      </c>
      <c r="D1771" t="s">
        <v>10</v>
      </c>
      <c r="E1771" t="s">
        <v>115</v>
      </c>
      <c r="F1771" t="s">
        <v>116</v>
      </c>
      <c r="G1771" t="s">
        <v>13</v>
      </c>
      <c r="I1771" s="42">
        <v>746.99</v>
      </c>
      <c r="J1771" s="42">
        <v>28.01</v>
      </c>
      <c r="K1771" s="42"/>
      <c r="L1771" s="42">
        <v>775</v>
      </c>
      <c r="N1771" s="42">
        <v>775</v>
      </c>
    </row>
    <row r="1772" spans="1:14" x14ac:dyDescent="0.25">
      <c r="A1772" s="1">
        <v>46070</v>
      </c>
      <c r="B1772">
        <v>3</v>
      </c>
      <c r="C1772" t="s">
        <v>541</v>
      </c>
      <c r="D1772" t="s">
        <v>10</v>
      </c>
      <c r="E1772" t="s">
        <v>235</v>
      </c>
      <c r="F1772" t="s">
        <v>158</v>
      </c>
      <c r="G1772" t="s">
        <v>104</v>
      </c>
      <c r="I1772" s="42">
        <v>746.99</v>
      </c>
      <c r="J1772" s="42">
        <v>3.01</v>
      </c>
      <c r="K1772" s="42"/>
      <c r="L1772" s="42">
        <v>750</v>
      </c>
      <c r="N1772" s="42">
        <v>750</v>
      </c>
    </row>
    <row r="1773" spans="1:14" x14ac:dyDescent="0.25">
      <c r="A1773" s="1">
        <v>46070</v>
      </c>
      <c r="B1773">
        <v>3</v>
      </c>
      <c r="C1773" t="s">
        <v>541</v>
      </c>
      <c r="D1773" t="s">
        <v>10</v>
      </c>
      <c r="E1773" t="s">
        <v>287</v>
      </c>
      <c r="F1773" t="s">
        <v>52</v>
      </c>
      <c r="G1773" t="s">
        <v>77</v>
      </c>
      <c r="I1773" s="42">
        <v>1251.99</v>
      </c>
      <c r="J1773" s="42"/>
      <c r="K1773" s="42"/>
      <c r="L1773" s="42">
        <v>1251.99</v>
      </c>
      <c r="N1773" s="42">
        <v>1251.99</v>
      </c>
    </row>
    <row r="1774" spans="1:14" x14ac:dyDescent="0.25">
      <c r="A1774" s="1">
        <v>46070</v>
      </c>
      <c r="B1774">
        <v>3</v>
      </c>
      <c r="C1774" t="s">
        <v>542</v>
      </c>
      <c r="D1774" t="s">
        <v>706</v>
      </c>
      <c r="E1774" t="s">
        <v>296</v>
      </c>
      <c r="F1774" t="s">
        <v>37</v>
      </c>
      <c r="G1774" t="s">
        <v>38</v>
      </c>
      <c r="I1774" s="42">
        <v>745</v>
      </c>
      <c r="J1774" s="42">
        <v>30</v>
      </c>
      <c r="K1774" s="42"/>
      <c r="L1774" s="42">
        <v>775</v>
      </c>
      <c r="N1774" s="42">
        <v>775</v>
      </c>
    </row>
    <row r="1775" spans="1:14" x14ac:dyDescent="0.25">
      <c r="A1775" s="1">
        <v>46070</v>
      </c>
      <c r="B1775">
        <v>3</v>
      </c>
      <c r="C1775" t="s">
        <v>541</v>
      </c>
      <c r="D1775" t="s">
        <v>10</v>
      </c>
      <c r="E1775" t="s">
        <v>321</v>
      </c>
      <c r="F1775" t="s">
        <v>158</v>
      </c>
      <c r="G1775" t="s">
        <v>13</v>
      </c>
      <c r="I1775" s="42">
        <v>746.99</v>
      </c>
      <c r="J1775" s="42"/>
      <c r="K1775" s="42"/>
      <c r="L1775" s="42">
        <v>1241.99</v>
      </c>
      <c r="N1775" s="42">
        <v>746.99</v>
      </c>
    </row>
    <row r="1776" spans="1:14" x14ac:dyDescent="0.25">
      <c r="A1776" s="1">
        <v>46070</v>
      </c>
      <c r="B1776">
        <v>3</v>
      </c>
      <c r="C1776" t="s">
        <v>541</v>
      </c>
      <c r="D1776" t="s">
        <v>10</v>
      </c>
      <c r="E1776" t="s">
        <v>326</v>
      </c>
      <c r="F1776" t="s">
        <v>52</v>
      </c>
      <c r="G1776" t="s">
        <v>13</v>
      </c>
      <c r="I1776" s="42">
        <v>1251.99</v>
      </c>
      <c r="J1776" s="42"/>
      <c r="K1776" s="42"/>
      <c r="L1776" s="42">
        <v>1251.99</v>
      </c>
      <c r="N1776" s="42">
        <v>1251.99</v>
      </c>
    </row>
    <row r="1777" spans="1:14" x14ac:dyDescent="0.25">
      <c r="A1777" s="1">
        <v>46070</v>
      </c>
      <c r="B1777">
        <v>3</v>
      </c>
      <c r="C1777" t="s">
        <v>541</v>
      </c>
      <c r="D1777" t="s">
        <v>10</v>
      </c>
      <c r="E1777" t="s">
        <v>333</v>
      </c>
      <c r="F1777" t="s">
        <v>158</v>
      </c>
      <c r="G1777" t="s">
        <v>22</v>
      </c>
      <c r="I1777" s="42">
        <v>746.99</v>
      </c>
      <c r="J1777" s="42">
        <v>30</v>
      </c>
      <c r="K1777" s="42"/>
      <c r="L1777" s="42">
        <v>776.99</v>
      </c>
      <c r="N1777" s="42">
        <v>776.99</v>
      </c>
    </row>
    <row r="1778" spans="1:14" x14ac:dyDescent="0.25">
      <c r="A1778" s="1">
        <v>46070</v>
      </c>
      <c r="B1778">
        <v>3</v>
      </c>
      <c r="C1778" t="s">
        <v>541</v>
      </c>
      <c r="D1778" t="s">
        <v>10</v>
      </c>
      <c r="E1778" t="s">
        <v>34</v>
      </c>
      <c r="F1778" t="s">
        <v>33</v>
      </c>
      <c r="G1778" t="s">
        <v>13</v>
      </c>
      <c r="I1778" s="42">
        <v>851.99</v>
      </c>
      <c r="J1778" s="42"/>
      <c r="K1778" s="42"/>
      <c r="L1778" s="42">
        <v>1346.99</v>
      </c>
      <c r="N1778" s="42">
        <v>851.99</v>
      </c>
    </row>
    <row r="1779" spans="1:14" x14ac:dyDescent="0.25">
      <c r="A1779" s="1">
        <v>46070</v>
      </c>
      <c r="B1779">
        <v>3</v>
      </c>
      <c r="C1779" t="s">
        <v>541</v>
      </c>
      <c r="D1779" t="s">
        <v>10</v>
      </c>
      <c r="E1779" t="s">
        <v>180</v>
      </c>
      <c r="F1779" t="s">
        <v>52</v>
      </c>
      <c r="G1779" t="s">
        <v>38</v>
      </c>
      <c r="I1779" s="42">
        <v>1251.99</v>
      </c>
      <c r="J1779" s="42"/>
      <c r="K1779" s="42"/>
      <c r="L1779" s="42">
        <v>1746.99</v>
      </c>
      <c r="N1779" s="42">
        <v>1251.99</v>
      </c>
    </row>
    <row r="1780" spans="1:14" x14ac:dyDescent="0.25">
      <c r="A1780" s="1">
        <v>46070</v>
      </c>
      <c r="B1780">
        <v>3</v>
      </c>
      <c r="C1780" t="s">
        <v>541</v>
      </c>
      <c r="D1780" t="s">
        <v>10</v>
      </c>
      <c r="E1780" t="s">
        <v>93</v>
      </c>
      <c r="F1780" t="s">
        <v>94</v>
      </c>
      <c r="G1780" t="s">
        <v>95</v>
      </c>
      <c r="I1780" s="42">
        <v>746.99</v>
      </c>
      <c r="J1780" s="42"/>
      <c r="K1780" s="42"/>
      <c r="L1780" s="42">
        <v>1241.99</v>
      </c>
      <c r="N1780" s="42">
        <v>746.99</v>
      </c>
    </row>
    <row r="1781" spans="1:14" x14ac:dyDescent="0.25">
      <c r="A1781" s="1">
        <v>46070</v>
      </c>
      <c r="B1781">
        <v>3</v>
      </c>
      <c r="C1781" t="s">
        <v>541</v>
      </c>
      <c r="D1781" t="s">
        <v>10</v>
      </c>
      <c r="E1781" t="s">
        <v>124</v>
      </c>
      <c r="F1781" t="s">
        <v>52</v>
      </c>
      <c r="G1781" t="s">
        <v>77</v>
      </c>
      <c r="I1781" s="42">
        <v>1251.99</v>
      </c>
      <c r="J1781" s="42"/>
      <c r="K1781" s="42"/>
      <c r="L1781" s="42">
        <v>1746.99</v>
      </c>
      <c r="N1781" s="42">
        <v>1251.99</v>
      </c>
    </row>
    <row r="1782" spans="1:14" x14ac:dyDescent="0.25">
      <c r="A1782" s="1">
        <v>46070</v>
      </c>
      <c r="B1782">
        <v>3</v>
      </c>
      <c r="C1782" t="s">
        <v>541</v>
      </c>
      <c r="D1782" t="s">
        <v>10</v>
      </c>
      <c r="E1782" t="s">
        <v>134</v>
      </c>
      <c r="F1782" t="s">
        <v>69</v>
      </c>
      <c r="G1782" t="s">
        <v>38</v>
      </c>
      <c r="I1782" s="42">
        <v>746.99</v>
      </c>
      <c r="J1782" s="42">
        <v>28.01</v>
      </c>
      <c r="K1782" s="42"/>
      <c r="L1782" s="42">
        <v>775</v>
      </c>
      <c r="N1782" s="42">
        <v>775</v>
      </c>
    </row>
    <row r="1783" spans="1:14" x14ac:dyDescent="0.25">
      <c r="A1783" s="1">
        <v>46070</v>
      </c>
      <c r="B1783">
        <v>3</v>
      </c>
      <c r="C1783" t="s">
        <v>541</v>
      </c>
      <c r="D1783" t="s">
        <v>10</v>
      </c>
      <c r="E1783" t="s">
        <v>138</v>
      </c>
      <c r="F1783" t="s">
        <v>12</v>
      </c>
      <c r="G1783" t="s">
        <v>13</v>
      </c>
      <c r="I1783" s="42">
        <v>746.99</v>
      </c>
      <c r="J1783" s="42"/>
      <c r="K1783" s="42">
        <v>0.09</v>
      </c>
      <c r="L1783" s="42">
        <v>746.9</v>
      </c>
      <c r="N1783" s="42">
        <v>746.9</v>
      </c>
    </row>
    <row r="1784" spans="1:14" x14ac:dyDescent="0.25">
      <c r="A1784" s="1">
        <v>46070</v>
      </c>
      <c r="B1784">
        <v>3</v>
      </c>
      <c r="C1784" t="s">
        <v>541</v>
      </c>
      <c r="D1784" t="s">
        <v>10</v>
      </c>
      <c r="E1784" t="s">
        <v>140</v>
      </c>
      <c r="F1784" t="s">
        <v>28</v>
      </c>
      <c r="G1784" t="s">
        <v>13</v>
      </c>
      <c r="I1784" s="42">
        <v>931.99</v>
      </c>
      <c r="J1784" s="42"/>
      <c r="K1784" s="42"/>
      <c r="L1784" s="42">
        <v>931.99</v>
      </c>
      <c r="N1784" s="42">
        <v>931.99</v>
      </c>
    </row>
    <row r="1785" spans="1:14" x14ac:dyDescent="0.25">
      <c r="A1785" s="1">
        <v>46070</v>
      </c>
      <c r="B1785">
        <v>3</v>
      </c>
      <c r="C1785" t="s">
        <v>541</v>
      </c>
      <c r="D1785" t="s">
        <v>10</v>
      </c>
      <c r="E1785" t="s">
        <v>142</v>
      </c>
      <c r="F1785" t="s">
        <v>55</v>
      </c>
      <c r="G1785" t="s">
        <v>95</v>
      </c>
      <c r="I1785" s="42">
        <v>746.99</v>
      </c>
      <c r="J1785" s="42">
        <v>3.01</v>
      </c>
      <c r="K1785" s="42"/>
      <c r="L1785" s="42">
        <v>750</v>
      </c>
      <c r="N1785" s="42">
        <v>750</v>
      </c>
    </row>
    <row r="1786" spans="1:14" x14ac:dyDescent="0.25">
      <c r="A1786" s="1">
        <v>46070</v>
      </c>
      <c r="B1786">
        <v>3</v>
      </c>
      <c r="C1786" t="s">
        <v>541</v>
      </c>
      <c r="D1786" t="s">
        <v>10</v>
      </c>
      <c r="E1786" t="s">
        <v>144</v>
      </c>
      <c r="F1786" t="s">
        <v>145</v>
      </c>
      <c r="G1786" t="s">
        <v>66</v>
      </c>
      <c r="I1786" s="42">
        <v>1351.99</v>
      </c>
      <c r="J1786" s="42"/>
      <c r="K1786" s="42"/>
      <c r="L1786" s="42">
        <v>1351.99</v>
      </c>
      <c r="N1786" s="42">
        <v>1351.99</v>
      </c>
    </row>
    <row r="1787" spans="1:14" x14ac:dyDescent="0.25">
      <c r="A1787" s="1">
        <v>46070</v>
      </c>
      <c r="B1787">
        <v>3</v>
      </c>
      <c r="C1787" t="s">
        <v>541</v>
      </c>
      <c r="D1787" t="s">
        <v>10</v>
      </c>
      <c r="E1787" t="s">
        <v>147</v>
      </c>
      <c r="F1787" t="s">
        <v>33</v>
      </c>
      <c r="G1787" t="s">
        <v>13</v>
      </c>
      <c r="I1787" s="42">
        <v>851.99</v>
      </c>
      <c r="J1787" s="42">
        <v>30.01</v>
      </c>
      <c r="K1787" s="42"/>
      <c r="L1787" s="42">
        <v>882</v>
      </c>
      <c r="N1787" s="42">
        <v>882</v>
      </c>
    </row>
    <row r="1788" spans="1:14" x14ac:dyDescent="0.25">
      <c r="A1788" s="1">
        <v>46070</v>
      </c>
      <c r="B1788">
        <v>3</v>
      </c>
      <c r="C1788" t="s">
        <v>541</v>
      </c>
      <c r="D1788" t="s">
        <v>10</v>
      </c>
      <c r="E1788" t="s">
        <v>149</v>
      </c>
      <c r="F1788" t="s">
        <v>33</v>
      </c>
      <c r="G1788" t="s">
        <v>13</v>
      </c>
      <c r="I1788" s="42">
        <v>851.99</v>
      </c>
      <c r="J1788" s="42">
        <v>60</v>
      </c>
      <c r="K1788" s="42"/>
      <c r="L1788" s="42">
        <v>911.99</v>
      </c>
      <c r="N1788" s="42">
        <v>712</v>
      </c>
    </row>
    <row r="1789" spans="1:14" x14ac:dyDescent="0.25">
      <c r="A1789" s="1">
        <v>46070</v>
      </c>
      <c r="B1789">
        <v>3</v>
      </c>
      <c r="C1789" t="s">
        <v>541</v>
      </c>
      <c r="D1789" t="s">
        <v>10</v>
      </c>
      <c r="E1789" t="s">
        <v>97</v>
      </c>
      <c r="F1789" t="s">
        <v>33</v>
      </c>
      <c r="G1789" t="s">
        <v>13</v>
      </c>
      <c r="I1789" s="42">
        <v>851.99</v>
      </c>
      <c r="J1789" s="42"/>
      <c r="K1789" s="42"/>
      <c r="L1789" s="42">
        <v>851.99</v>
      </c>
      <c r="N1789" s="42">
        <v>851.99</v>
      </c>
    </row>
    <row r="1790" spans="1:14" x14ac:dyDescent="0.25">
      <c r="A1790" s="1">
        <v>46070</v>
      </c>
      <c r="B1790">
        <v>3</v>
      </c>
      <c r="C1790" t="s">
        <v>541</v>
      </c>
      <c r="D1790" t="s">
        <v>10</v>
      </c>
      <c r="E1790" t="s">
        <v>151</v>
      </c>
      <c r="F1790" t="s">
        <v>33</v>
      </c>
      <c r="G1790" t="s">
        <v>38</v>
      </c>
      <c r="I1790" s="42">
        <v>851.99</v>
      </c>
      <c r="J1790" s="42"/>
      <c r="K1790" s="42"/>
      <c r="L1790" s="42">
        <v>851.99</v>
      </c>
      <c r="N1790" s="42">
        <v>851.99</v>
      </c>
    </row>
    <row r="1791" spans="1:14" x14ac:dyDescent="0.25">
      <c r="A1791" s="1">
        <v>46070</v>
      </c>
      <c r="B1791">
        <v>3</v>
      </c>
      <c r="C1791" t="s">
        <v>541</v>
      </c>
      <c r="D1791" t="s">
        <v>10</v>
      </c>
      <c r="E1791" t="s">
        <v>153</v>
      </c>
      <c r="F1791" t="s">
        <v>12</v>
      </c>
      <c r="G1791" t="s">
        <v>13</v>
      </c>
      <c r="I1791" s="42">
        <v>746.99</v>
      </c>
      <c r="J1791" s="42"/>
      <c r="K1791" s="42"/>
      <c r="L1791" s="42">
        <v>746.99</v>
      </c>
      <c r="N1791" s="42">
        <v>746.99</v>
      </c>
    </row>
    <row r="1792" spans="1:14" x14ac:dyDescent="0.25">
      <c r="A1792" s="1">
        <v>46070</v>
      </c>
      <c r="B1792">
        <v>3</v>
      </c>
      <c r="C1792" t="s">
        <v>541</v>
      </c>
      <c r="D1792" t="s">
        <v>10</v>
      </c>
      <c r="E1792" t="s">
        <v>155</v>
      </c>
      <c r="F1792" t="s">
        <v>33</v>
      </c>
      <c r="G1792" t="s">
        <v>38</v>
      </c>
      <c r="I1792" s="42">
        <v>851.99</v>
      </c>
      <c r="J1792" s="42">
        <v>0.01</v>
      </c>
      <c r="K1792" s="42"/>
      <c r="L1792" s="42">
        <v>852</v>
      </c>
      <c r="N1792" s="42">
        <v>852</v>
      </c>
    </row>
    <row r="1793" spans="1:14" x14ac:dyDescent="0.25">
      <c r="A1793" s="1">
        <v>46070</v>
      </c>
      <c r="B1793">
        <v>3</v>
      </c>
      <c r="C1793" t="s">
        <v>541</v>
      </c>
      <c r="D1793" t="s">
        <v>10</v>
      </c>
      <c r="E1793" t="s">
        <v>157</v>
      </c>
      <c r="F1793" t="s">
        <v>158</v>
      </c>
      <c r="G1793" t="s">
        <v>111</v>
      </c>
      <c r="I1793" s="42">
        <v>746.99</v>
      </c>
      <c r="J1793" s="42">
        <v>60.01</v>
      </c>
      <c r="K1793" s="42"/>
      <c r="L1793" s="42">
        <v>807</v>
      </c>
      <c r="N1793" s="42">
        <v>807</v>
      </c>
    </row>
    <row r="1794" spans="1:14" x14ac:dyDescent="0.25">
      <c r="A1794" s="1">
        <v>46070</v>
      </c>
      <c r="B1794">
        <v>3</v>
      </c>
      <c r="C1794" t="s">
        <v>541</v>
      </c>
      <c r="D1794" t="s">
        <v>10</v>
      </c>
      <c r="E1794" t="s">
        <v>106</v>
      </c>
      <c r="F1794" t="s">
        <v>12</v>
      </c>
      <c r="G1794" t="s">
        <v>13</v>
      </c>
      <c r="I1794" s="42">
        <v>746.99</v>
      </c>
      <c r="J1794" s="42"/>
      <c r="K1794" s="42"/>
      <c r="L1794" s="42">
        <v>746.99</v>
      </c>
      <c r="N1794" s="42">
        <v>746.99</v>
      </c>
    </row>
    <row r="1795" spans="1:14" x14ac:dyDescent="0.25">
      <c r="A1795" s="1">
        <v>46070</v>
      </c>
      <c r="B1795">
        <v>3</v>
      </c>
      <c r="C1795" t="s">
        <v>541</v>
      </c>
      <c r="D1795" t="s">
        <v>10</v>
      </c>
      <c r="E1795" t="s">
        <v>244</v>
      </c>
      <c r="F1795" t="s">
        <v>245</v>
      </c>
      <c r="G1795" t="s">
        <v>13</v>
      </c>
      <c r="I1795" s="42">
        <v>746.99</v>
      </c>
      <c r="J1795" s="42"/>
      <c r="K1795" s="42"/>
      <c r="L1795" s="42">
        <v>746.99</v>
      </c>
      <c r="N1795" s="42">
        <v>746.99</v>
      </c>
    </row>
    <row r="1796" spans="1:14" x14ac:dyDescent="0.25">
      <c r="A1796" s="1">
        <v>46070</v>
      </c>
      <c r="B1796">
        <v>3</v>
      </c>
      <c r="C1796" t="s">
        <v>542</v>
      </c>
      <c r="D1796" t="s">
        <v>89</v>
      </c>
      <c r="E1796" t="s">
        <v>164</v>
      </c>
      <c r="F1796" t="s">
        <v>12</v>
      </c>
      <c r="G1796" t="s">
        <v>13</v>
      </c>
      <c r="I1796" s="42">
        <v>746.99</v>
      </c>
      <c r="J1796" s="42"/>
      <c r="K1796" s="42"/>
      <c r="L1796" s="42">
        <v>746.99</v>
      </c>
      <c r="N1796" s="42"/>
    </row>
    <row r="1797" spans="1:14" x14ac:dyDescent="0.25">
      <c r="A1797" s="1">
        <v>46070</v>
      </c>
      <c r="B1797">
        <v>3</v>
      </c>
      <c r="C1797" t="s">
        <v>541</v>
      </c>
      <c r="D1797" t="s">
        <v>10</v>
      </c>
      <c r="E1797" t="s">
        <v>166</v>
      </c>
      <c r="F1797" t="s">
        <v>12</v>
      </c>
      <c r="G1797" t="s">
        <v>13</v>
      </c>
      <c r="I1797" s="42">
        <v>746.99</v>
      </c>
      <c r="J1797" s="42"/>
      <c r="K1797" s="42">
        <v>1.99</v>
      </c>
      <c r="L1797" s="42">
        <v>745</v>
      </c>
      <c r="N1797" s="42">
        <v>745</v>
      </c>
    </row>
    <row r="1798" spans="1:14" x14ac:dyDescent="0.25">
      <c r="A1798" s="1">
        <v>46070</v>
      </c>
      <c r="B1798">
        <v>3</v>
      </c>
      <c r="C1798" t="s">
        <v>541</v>
      </c>
      <c r="D1798" t="s">
        <v>10</v>
      </c>
      <c r="E1798" t="s">
        <v>177</v>
      </c>
      <c r="F1798" t="s">
        <v>178</v>
      </c>
      <c r="G1798" t="s">
        <v>13</v>
      </c>
      <c r="I1798" s="42">
        <v>851.99</v>
      </c>
      <c r="J1798" s="42"/>
      <c r="K1798" s="42"/>
      <c r="L1798" s="42">
        <v>851.99</v>
      </c>
      <c r="N1798" s="42">
        <v>851.99</v>
      </c>
    </row>
    <row r="1799" spans="1:14" x14ac:dyDescent="0.25">
      <c r="A1799" s="1">
        <v>46070</v>
      </c>
      <c r="B1799">
        <v>3</v>
      </c>
      <c r="C1799" t="s">
        <v>541</v>
      </c>
      <c r="D1799" t="s">
        <v>10</v>
      </c>
      <c r="E1799" t="s">
        <v>182</v>
      </c>
      <c r="F1799" t="s">
        <v>25</v>
      </c>
      <c r="G1799" t="s">
        <v>183</v>
      </c>
      <c r="I1799" s="42">
        <v>1251.99</v>
      </c>
      <c r="J1799" s="42"/>
      <c r="K1799" s="42">
        <v>1.99</v>
      </c>
      <c r="L1799" s="42">
        <v>1250</v>
      </c>
      <c r="N1799" s="42">
        <v>1250</v>
      </c>
    </row>
    <row r="1800" spans="1:14" x14ac:dyDescent="0.25">
      <c r="A1800" s="1">
        <v>46070</v>
      </c>
      <c r="B1800">
        <v>3</v>
      </c>
      <c r="C1800" t="s">
        <v>541</v>
      </c>
      <c r="D1800" t="s">
        <v>10</v>
      </c>
      <c r="E1800" t="s">
        <v>707</v>
      </c>
      <c r="F1800" t="s">
        <v>73</v>
      </c>
      <c r="G1800" t="s">
        <v>13</v>
      </c>
      <c r="I1800" s="42">
        <v>2001.99</v>
      </c>
      <c r="J1800" s="42">
        <v>30</v>
      </c>
      <c r="K1800" s="42"/>
      <c r="L1800" s="42">
        <v>2031.99</v>
      </c>
      <c r="N1800" s="42">
        <v>2001.99</v>
      </c>
    </row>
    <row r="1801" spans="1:14" x14ac:dyDescent="0.25">
      <c r="A1801" s="1">
        <v>46070</v>
      </c>
      <c r="B1801">
        <v>3</v>
      </c>
      <c r="C1801" t="s">
        <v>541</v>
      </c>
      <c r="D1801" t="s">
        <v>10</v>
      </c>
      <c r="E1801" t="s">
        <v>328</v>
      </c>
      <c r="F1801" t="s">
        <v>55</v>
      </c>
      <c r="G1801" t="s">
        <v>13</v>
      </c>
      <c r="I1801" s="42">
        <v>746.99</v>
      </c>
      <c r="J1801" s="42"/>
      <c r="K1801" s="42">
        <v>1.99</v>
      </c>
      <c r="L1801" s="42">
        <v>745</v>
      </c>
      <c r="N1801" s="42">
        <v>745</v>
      </c>
    </row>
    <row r="1802" spans="1:14" x14ac:dyDescent="0.25">
      <c r="A1802" s="1">
        <v>46070</v>
      </c>
      <c r="B1802">
        <v>3</v>
      </c>
      <c r="C1802" t="s">
        <v>541</v>
      </c>
      <c r="D1802" t="s">
        <v>10</v>
      </c>
      <c r="E1802" t="s">
        <v>312</v>
      </c>
      <c r="F1802" t="s">
        <v>158</v>
      </c>
      <c r="G1802" t="s">
        <v>104</v>
      </c>
      <c r="I1802" s="42">
        <v>746.99</v>
      </c>
      <c r="J1802" s="42"/>
      <c r="K1802" s="42"/>
      <c r="L1802" s="42">
        <v>1241.99</v>
      </c>
      <c r="N1802" s="42">
        <v>746.99</v>
      </c>
    </row>
    <row r="1803" spans="1:14" x14ac:dyDescent="0.25">
      <c r="A1803" s="1">
        <v>46070</v>
      </c>
      <c r="B1803">
        <v>3</v>
      </c>
      <c r="C1803" t="s">
        <v>542</v>
      </c>
      <c r="D1803" t="s">
        <v>99</v>
      </c>
      <c r="E1803" t="s">
        <v>160</v>
      </c>
      <c r="F1803" t="s">
        <v>158</v>
      </c>
      <c r="G1803" t="s">
        <v>22</v>
      </c>
      <c r="I1803" s="42">
        <v>746.99</v>
      </c>
      <c r="J1803" s="42"/>
      <c r="K1803" s="42"/>
      <c r="L1803" s="42">
        <v>746.99</v>
      </c>
      <c r="N1803" s="42"/>
    </row>
    <row r="1804" spans="1:14" x14ac:dyDescent="0.25">
      <c r="A1804" s="1">
        <v>46070</v>
      </c>
      <c r="B1804">
        <v>3</v>
      </c>
      <c r="C1804" t="s">
        <v>541</v>
      </c>
      <c r="D1804" t="s">
        <v>10</v>
      </c>
      <c r="E1804" t="s">
        <v>257</v>
      </c>
      <c r="F1804" t="s">
        <v>158</v>
      </c>
      <c r="G1804" t="s">
        <v>111</v>
      </c>
      <c r="I1804" s="42">
        <v>746.99</v>
      </c>
      <c r="J1804" s="42">
        <v>35.01</v>
      </c>
      <c r="K1804" s="42"/>
      <c r="L1804" s="42">
        <v>782</v>
      </c>
      <c r="N1804" s="42">
        <v>782</v>
      </c>
    </row>
    <row r="1805" spans="1:14" x14ac:dyDescent="0.25">
      <c r="A1805" s="1">
        <v>46070</v>
      </c>
      <c r="B1805">
        <v>3</v>
      </c>
      <c r="C1805" t="s">
        <v>541</v>
      </c>
      <c r="D1805" t="s">
        <v>10</v>
      </c>
      <c r="E1805" t="s">
        <v>335</v>
      </c>
      <c r="F1805" t="s">
        <v>158</v>
      </c>
      <c r="G1805" t="s">
        <v>104</v>
      </c>
      <c r="I1805" s="42">
        <v>746.99</v>
      </c>
      <c r="J1805" s="42"/>
      <c r="K1805" s="42">
        <v>319.29000000000002</v>
      </c>
      <c r="L1805" s="42">
        <v>427.7</v>
      </c>
      <c r="N1805" s="42">
        <v>427.7</v>
      </c>
    </row>
    <row r="1806" spans="1:14" x14ac:dyDescent="0.25">
      <c r="A1806" s="1">
        <v>46070</v>
      </c>
      <c r="B1806">
        <v>3</v>
      </c>
      <c r="C1806" t="s">
        <v>541</v>
      </c>
      <c r="D1806" t="s">
        <v>10</v>
      </c>
      <c r="E1806" t="s">
        <v>250</v>
      </c>
      <c r="F1806" t="s">
        <v>12</v>
      </c>
      <c r="G1806" t="s">
        <v>13</v>
      </c>
      <c r="I1806" s="42">
        <v>746.99</v>
      </c>
      <c r="J1806" s="42"/>
      <c r="K1806" s="42"/>
      <c r="L1806" s="42">
        <v>1241.99</v>
      </c>
      <c r="N1806" s="42">
        <v>746.99</v>
      </c>
    </row>
    <row r="1807" spans="1:14" x14ac:dyDescent="0.25">
      <c r="A1807" s="1">
        <v>46070</v>
      </c>
      <c r="B1807">
        <v>3</v>
      </c>
      <c r="C1807" t="s">
        <v>541</v>
      </c>
      <c r="D1807" t="s">
        <v>10</v>
      </c>
      <c r="E1807" t="s">
        <v>331</v>
      </c>
      <c r="F1807" t="s">
        <v>12</v>
      </c>
      <c r="G1807" t="s">
        <v>13</v>
      </c>
      <c r="I1807" s="42">
        <v>746.99</v>
      </c>
      <c r="J1807" s="42"/>
      <c r="K1807" s="42"/>
      <c r="L1807" s="42">
        <v>746.99</v>
      </c>
      <c r="N1807" s="42">
        <v>746.99</v>
      </c>
    </row>
    <row r="1808" spans="1:14" x14ac:dyDescent="0.25">
      <c r="A1808" s="1">
        <v>46070</v>
      </c>
      <c r="B1808">
        <v>3</v>
      </c>
      <c r="C1808" t="s">
        <v>541</v>
      </c>
      <c r="D1808" t="s">
        <v>10</v>
      </c>
      <c r="E1808" t="s">
        <v>121</v>
      </c>
      <c r="F1808" t="s">
        <v>52</v>
      </c>
      <c r="G1808" t="s">
        <v>122</v>
      </c>
      <c r="I1808" s="42">
        <v>1251.99</v>
      </c>
      <c r="J1808" s="42"/>
      <c r="K1808" s="42">
        <v>1.99</v>
      </c>
      <c r="L1808" s="42">
        <v>1250</v>
      </c>
      <c r="N1808" s="42">
        <v>1250</v>
      </c>
    </row>
    <row r="1809" spans="1:14" x14ac:dyDescent="0.25">
      <c r="A1809" s="1">
        <v>46070</v>
      </c>
      <c r="B1809">
        <v>3</v>
      </c>
      <c r="C1809" t="s">
        <v>541</v>
      </c>
      <c r="D1809" t="s">
        <v>10</v>
      </c>
      <c r="E1809" t="s">
        <v>185</v>
      </c>
      <c r="F1809" t="s">
        <v>12</v>
      </c>
      <c r="G1809" t="s">
        <v>13</v>
      </c>
      <c r="I1809" s="42">
        <v>746.99</v>
      </c>
      <c r="J1809" s="42"/>
      <c r="K1809" s="42">
        <v>0.99</v>
      </c>
      <c r="L1809" s="42">
        <v>746</v>
      </c>
      <c r="N1809" s="42">
        <v>746</v>
      </c>
    </row>
    <row r="1810" spans="1:14" x14ac:dyDescent="0.25">
      <c r="A1810" s="1">
        <v>46070</v>
      </c>
      <c r="B1810">
        <v>3</v>
      </c>
      <c r="C1810" t="s">
        <v>541</v>
      </c>
      <c r="D1810" t="s">
        <v>10</v>
      </c>
      <c r="E1810" t="s">
        <v>187</v>
      </c>
      <c r="F1810" t="s">
        <v>12</v>
      </c>
      <c r="G1810" t="s">
        <v>13</v>
      </c>
      <c r="I1810" s="42">
        <v>746.99</v>
      </c>
      <c r="J1810" s="42">
        <v>120.01</v>
      </c>
      <c r="K1810" s="42"/>
      <c r="L1810" s="42">
        <v>867</v>
      </c>
      <c r="N1810" s="42">
        <v>867</v>
      </c>
    </row>
    <row r="1811" spans="1:14" x14ac:dyDescent="0.25">
      <c r="A1811" s="1">
        <v>46070</v>
      </c>
      <c r="B1811">
        <v>3</v>
      </c>
      <c r="C1811" t="s">
        <v>541</v>
      </c>
      <c r="D1811" t="s">
        <v>10</v>
      </c>
      <c r="E1811" t="s">
        <v>308</v>
      </c>
      <c r="F1811" t="s">
        <v>28</v>
      </c>
      <c r="G1811" t="s">
        <v>13</v>
      </c>
      <c r="I1811" s="42">
        <v>931.99</v>
      </c>
      <c r="J1811" s="42">
        <v>30</v>
      </c>
      <c r="K1811" s="42"/>
      <c r="L1811" s="42">
        <v>961.99</v>
      </c>
      <c r="N1811" s="42">
        <v>961.99</v>
      </c>
    </row>
    <row r="1812" spans="1:14" x14ac:dyDescent="0.25">
      <c r="A1812" s="1">
        <v>46070</v>
      </c>
      <c r="B1812">
        <v>3</v>
      </c>
      <c r="C1812" t="s">
        <v>541</v>
      </c>
      <c r="D1812" t="s">
        <v>10</v>
      </c>
      <c r="E1812" t="s">
        <v>189</v>
      </c>
      <c r="F1812" t="s">
        <v>12</v>
      </c>
      <c r="G1812" t="s">
        <v>13</v>
      </c>
      <c r="I1812" s="42">
        <v>746.99</v>
      </c>
      <c r="J1812" s="42"/>
      <c r="K1812" s="42">
        <v>1.99</v>
      </c>
      <c r="L1812" s="42">
        <v>745</v>
      </c>
      <c r="N1812" s="42">
        <v>745</v>
      </c>
    </row>
    <row r="1813" spans="1:14" x14ac:dyDescent="0.25">
      <c r="A1813" s="1">
        <v>46070</v>
      </c>
      <c r="B1813">
        <v>3</v>
      </c>
      <c r="C1813" t="s">
        <v>541</v>
      </c>
      <c r="D1813" t="s">
        <v>10</v>
      </c>
      <c r="E1813" t="s">
        <v>191</v>
      </c>
      <c r="F1813" t="s">
        <v>55</v>
      </c>
      <c r="G1813" t="s">
        <v>13</v>
      </c>
      <c r="I1813" s="42">
        <v>746.99</v>
      </c>
      <c r="J1813" s="42"/>
      <c r="K1813" s="42">
        <v>1.99</v>
      </c>
      <c r="L1813" s="42">
        <v>745</v>
      </c>
      <c r="N1813" s="42">
        <v>745</v>
      </c>
    </row>
    <row r="1814" spans="1:14" x14ac:dyDescent="0.25">
      <c r="A1814" s="1">
        <v>46070</v>
      </c>
      <c r="B1814">
        <v>3</v>
      </c>
      <c r="C1814" t="s">
        <v>541</v>
      </c>
      <c r="D1814" t="s">
        <v>10</v>
      </c>
      <c r="E1814" t="s">
        <v>193</v>
      </c>
      <c r="F1814" t="s">
        <v>12</v>
      </c>
      <c r="G1814" t="s">
        <v>13</v>
      </c>
      <c r="I1814" s="42">
        <v>746.99</v>
      </c>
      <c r="J1814" s="42"/>
      <c r="K1814" s="42">
        <v>1.99</v>
      </c>
      <c r="L1814" s="42">
        <v>745</v>
      </c>
      <c r="N1814" s="42">
        <v>745</v>
      </c>
    </row>
    <row r="1815" spans="1:14" x14ac:dyDescent="0.25">
      <c r="A1815" s="1">
        <v>46070</v>
      </c>
      <c r="B1815">
        <v>3</v>
      </c>
      <c r="C1815" t="s">
        <v>541</v>
      </c>
      <c r="D1815" t="s">
        <v>10</v>
      </c>
      <c r="E1815" t="s">
        <v>195</v>
      </c>
      <c r="F1815" t="s">
        <v>196</v>
      </c>
      <c r="G1815" t="s">
        <v>22</v>
      </c>
      <c r="I1815" s="42">
        <v>680</v>
      </c>
      <c r="J1815" s="42"/>
      <c r="K1815" s="42">
        <v>480</v>
      </c>
      <c r="L1815" s="42">
        <v>200</v>
      </c>
      <c r="N1815" s="42">
        <v>200</v>
      </c>
    </row>
    <row r="1816" spans="1:14" x14ac:dyDescent="0.25">
      <c r="A1816" s="1">
        <v>46070</v>
      </c>
      <c r="B1816">
        <v>3</v>
      </c>
      <c r="C1816" t="s">
        <v>541</v>
      </c>
      <c r="D1816" t="s">
        <v>10</v>
      </c>
      <c r="E1816" t="s">
        <v>198</v>
      </c>
      <c r="F1816" t="s">
        <v>199</v>
      </c>
      <c r="G1816" t="s">
        <v>38</v>
      </c>
      <c r="I1816" s="42">
        <v>746.99</v>
      </c>
      <c r="J1816" s="42"/>
      <c r="K1816" s="42"/>
      <c r="L1816" s="42">
        <v>746.99</v>
      </c>
      <c r="N1816" s="42">
        <v>746.99</v>
      </c>
    </row>
    <row r="1817" spans="1:14" x14ac:dyDescent="0.25">
      <c r="A1817" s="1">
        <v>46070</v>
      </c>
      <c r="B1817">
        <v>3</v>
      </c>
      <c r="C1817" t="s">
        <v>541</v>
      </c>
      <c r="D1817" t="s">
        <v>10</v>
      </c>
      <c r="E1817" t="s">
        <v>201</v>
      </c>
      <c r="F1817" t="s">
        <v>202</v>
      </c>
      <c r="G1817" t="s">
        <v>56</v>
      </c>
      <c r="I1817" s="42">
        <v>831.99</v>
      </c>
      <c r="J1817" s="42"/>
      <c r="K1817" s="42"/>
      <c r="L1817" s="42">
        <v>831.99</v>
      </c>
      <c r="N1817" s="42">
        <v>831.99</v>
      </c>
    </row>
    <row r="1818" spans="1:14" x14ac:dyDescent="0.25">
      <c r="A1818" s="1">
        <v>46070</v>
      </c>
      <c r="B1818">
        <v>3</v>
      </c>
      <c r="C1818" t="s">
        <v>541</v>
      </c>
      <c r="D1818" t="s">
        <v>10</v>
      </c>
      <c r="E1818" t="s">
        <v>207</v>
      </c>
      <c r="F1818" t="s">
        <v>33</v>
      </c>
      <c r="G1818" t="s">
        <v>13</v>
      </c>
      <c r="I1818" s="42">
        <v>851.99</v>
      </c>
      <c r="J1818" s="42"/>
      <c r="K1818" s="42"/>
      <c r="L1818" s="42">
        <v>851.99</v>
      </c>
      <c r="N1818" s="42">
        <v>851.99</v>
      </c>
    </row>
    <row r="1819" spans="1:14" x14ac:dyDescent="0.25">
      <c r="A1819" s="1">
        <v>46070</v>
      </c>
      <c r="B1819">
        <v>3</v>
      </c>
      <c r="C1819" t="s">
        <v>541</v>
      </c>
      <c r="D1819" t="s">
        <v>10</v>
      </c>
      <c r="E1819" t="s">
        <v>210</v>
      </c>
      <c r="F1819" t="s">
        <v>211</v>
      </c>
      <c r="G1819" t="s">
        <v>13</v>
      </c>
      <c r="I1819" s="42">
        <v>851.99</v>
      </c>
      <c r="J1819" s="42"/>
      <c r="K1819" s="42">
        <v>1.99</v>
      </c>
      <c r="L1819" s="42">
        <v>850</v>
      </c>
      <c r="N1819" s="42">
        <v>850</v>
      </c>
    </row>
    <row r="1820" spans="1:14" x14ac:dyDescent="0.25">
      <c r="A1820" s="1">
        <v>46070</v>
      </c>
      <c r="B1820">
        <v>3</v>
      </c>
      <c r="C1820" t="s">
        <v>542</v>
      </c>
      <c r="D1820" t="s">
        <v>136</v>
      </c>
      <c r="E1820" t="s">
        <v>303</v>
      </c>
      <c r="F1820" t="s">
        <v>33</v>
      </c>
      <c r="G1820" t="s">
        <v>13</v>
      </c>
      <c r="I1820" s="42">
        <v>851.99</v>
      </c>
      <c r="J1820" s="42">
        <v>210</v>
      </c>
      <c r="K1820" s="42"/>
      <c r="L1820" s="42">
        <v>1061.99</v>
      </c>
      <c r="N1820" s="42">
        <v>1001.01</v>
      </c>
    </row>
    <row r="1821" spans="1:14" x14ac:dyDescent="0.25">
      <c r="A1821" s="1">
        <v>46070</v>
      </c>
      <c r="B1821">
        <v>3</v>
      </c>
      <c r="C1821" t="s">
        <v>541</v>
      </c>
      <c r="D1821" t="s">
        <v>10</v>
      </c>
      <c r="E1821" t="s">
        <v>213</v>
      </c>
      <c r="F1821" t="s">
        <v>214</v>
      </c>
      <c r="G1821" t="s">
        <v>13</v>
      </c>
      <c r="I1821" s="42">
        <v>851.99</v>
      </c>
      <c r="J1821" s="42"/>
      <c r="K1821" s="42"/>
      <c r="L1821" s="42">
        <v>851.99</v>
      </c>
      <c r="N1821" s="42">
        <v>851.99</v>
      </c>
    </row>
    <row r="1822" spans="1:14" x14ac:dyDescent="0.25">
      <c r="A1822" s="1">
        <v>46070</v>
      </c>
      <c r="B1822">
        <v>3</v>
      </c>
      <c r="C1822" t="s">
        <v>541</v>
      </c>
      <c r="D1822" t="s">
        <v>10</v>
      </c>
      <c r="E1822" t="s">
        <v>291</v>
      </c>
      <c r="F1822" t="s">
        <v>41</v>
      </c>
      <c r="G1822" t="s">
        <v>13</v>
      </c>
      <c r="I1822" s="42">
        <v>746.99</v>
      </c>
      <c r="J1822" s="42"/>
      <c r="K1822" s="42"/>
      <c r="L1822" s="42">
        <v>746.99</v>
      </c>
      <c r="N1822" s="42">
        <v>746.99</v>
      </c>
    </row>
    <row r="1823" spans="1:14" x14ac:dyDescent="0.25">
      <c r="A1823" s="1">
        <v>46070</v>
      </c>
      <c r="B1823">
        <v>3</v>
      </c>
      <c r="C1823" t="s">
        <v>541</v>
      </c>
      <c r="D1823" t="s">
        <v>10</v>
      </c>
      <c r="E1823" t="s">
        <v>216</v>
      </c>
      <c r="F1823" t="s">
        <v>217</v>
      </c>
      <c r="G1823" t="s">
        <v>13</v>
      </c>
      <c r="I1823" s="42">
        <v>746.99</v>
      </c>
      <c r="J1823" s="42"/>
      <c r="K1823" s="42"/>
      <c r="L1823" s="42">
        <v>746.99</v>
      </c>
      <c r="N1823" s="42">
        <v>746.99</v>
      </c>
    </row>
    <row r="1824" spans="1:14" x14ac:dyDescent="0.25">
      <c r="A1824" s="1">
        <v>46070</v>
      </c>
      <c r="B1824">
        <v>3</v>
      </c>
      <c r="C1824" t="s">
        <v>541</v>
      </c>
      <c r="D1824" t="s">
        <v>10</v>
      </c>
      <c r="E1824" t="s">
        <v>219</v>
      </c>
      <c r="F1824" t="s">
        <v>12</v>
      </c>
      <c r="G1824" t="s">
        <v>13</v>
      </c>
      <c r="I1824" s="42">
        <v>746.99</v>
      </c>
      <c r="J1824" s="42">
        <v>53.01</v>
      </c>
      <c r="K1824" s="42"/>
      <c r="L1824" s="42">
        <v>800</v>
      </c>
      <c r="N1824" s="42">
        <v>800</v>
      </c>
    </row>
    <row r="1825" spans="1:14" x14ac:dyDescent="0.25">
      <c r="A1825" s="1">
        <v>46070</v>
      </c>
      <c r="B1825">
        <v>3</v>
      </c>
      <c r="C1825" t="s">
        <v>541</v>
      </c>
      <c r="D1825" t="s">
        <v>10</v>
      </c>
      <c r="E1825" t="s">
        <v>223</v>
      </c>
      <c r="F1825" t="s">
        <v>41</v>
      </c>
      <c r="G1825" t="s">
        <v>22</v>
      </c>
      <c r="I1825" s="42">
        <v>746.99</v>
      </c>
      <c r="J1825" s="42">
        <v>29.01</v>
      </c>
      <c r="K1825" s="42"/>
      <c r="L1825" s="42">
        <v>776</v>
      </c>
      <c r="N1825" s="42">
        <v>776</v>
      </c>
    </row>
    <row r="1826" spans="1:14" x14ac:dyDescent="0.25">
      <c r="A1826" s="1">
        <v>46070</v>
      </c>
      <c r="B1826">
        <v>3</v>
      </c>
      <c r="C1826" t="s">
        <v>541</v>
      </c>
      <c r="D1826" t="s">
        <v>10</v>
      </c>
      <c r="E1826" t="s">
        <v>225</v>
      </c>
      <c r="F1826" t="s">
        <v>217</v>
      </c>
      <c r="G1826" t="s">
        <v>22</v>
      </c>
      <c r="I1826" s="42">
        <v>746.99</v>
      </c>
      <c r="J1826" s="42"/>
      <c r="K1826" s="42"/>
      <c r="L1826" s="42">
        <v>746.99</v>
      </c>
      <c r="N1826" s="42"/>
    </row>
    <row r="1827" spans="1:14" x14ac:dyDescent="0.25">
      <c r="A1827" s="1">
        <v>46070</v>
      </c>
      <c r="B1827">
        <v>3</v>
      </c>
      <c r="C1827" t="s">
        <v>542</v>
      </c>
      <c r="D1827" t="s">
        <v>336</v>
      </c>
      <c r="E1827" t="s">
        <v>315</v>
      </c>
      <c r="F1827" t="s">
        <v>41</v>
      </c>
      <c r="G1827" t="s">
        <v>111</v>
      </c>
      <c r="I1827" s="42">
        <v>746.99</v>
      </c>
      <c r="J1827" s="42"/>
      <c r="K1827" s="42"/>
      <c r="L1827" s="42">
        <v>746.99</v>
      </c>
      <c r="N1827" s="42"/>
    </row>
    <row r="1828" spans="1:14" x14ac:dyDescent="0.25">
      <c r="A1828" s="1">
        <v>46070</v>
      </c>
      <c r="B1828">
        <v>3</v>
      </c>
      <c r="C1828" t="s">
        <v>541</v>
      </c>
      <c r="D1828" t="s">
        <v>10</v>
      </c>
      <c r="E1828" t="s">
        <v>305</v>
      </c>
      <c r="F1828" t="s">
        <v>41</v>
      </c>
      <c r="G1828" t="s">
        <v>111</v>
      </c>
      <c r="I1828" s="42">
        <v>746.99</v>
      </c>
      <c r="J1828" s="42">
        <v>33.01</v>
      </c>
      <c r="K1828" s="42"/>
      <c r="L1828" s="42">
        <v>780</v>
      </c>
      <c r="N1828" s="42">
        <v>780</v>
      </c>
    </row>
    <row r="1829" spans="1:14" x14ac:dyDescent="0.25">
      <c r="A1829" s="1">
        <v>46070</v>
      </c>
      <c r="B1829">
        <v>3</v>
      </c>
      <c r="C1829" t="s">
        <v>541</v>
      </c>
      <c r="D1829" t="s">
        <v>10</v>
      </c>
      <c r="E1829" t="s">
        <v>227</v>
      </c>
      <c r="F1829" t="s">
        <v>12</v>
      </c>
      <c r="G1829" t="s">
        <v>104</v>
      </c>
      <c r="I1829" s="42">
        <v>746</v>
      </c>
      <c r="J1829" s="42"/>
      <c r="K1829" s="42"/>
      <c r="L1829" s="42">
        <v>746</v>
      </c>
      <c r="N1829" s="42">
        <v>746</v>
      </c>
    </row>
    <row r="1830" spans="1:14" x14ac:dyDescent="0.25">
      <c r="A1830" s="1">
        <v>46070</v>
      </c>
      <c r="B1830">
        <v>3</v>
      </c>
      <c r="C1830" t="s">
        <v>541</v>
      </c>
      <c r="D1830" t="s">
        <v>10</v>
      </c>
      <c r="E1830" t="s">
        <v>229</v>
      </c>
      <c r="F1830" t="s">
        <v>230</v>
      </c>
      <c r="G1830" t="s">
        <v>22</v>
      </c>
      <c r="I1830" s="42">
        <v>746.99</v>
      </c>
      <c r="J1830" s="42"/>
      <c r="K1830" s="42"/>
      <c r="L1830" s="42">
        <v>746.99</v>
      </c>
      <c r="N1830" s="42">
        <v>746.99</v>
      </c>
    </row>
    <row r="1831" spans="1:14" x14ac:dyDescent="0.25">
      <c r="A1831" s="1">
        <v>46070</v>
      </c>
      <c r="B1831">
        <v>3</v>
      </c>
      <c r="C1831" t="s">
        <v>541</v>
      </c>
      <c r="D1831" t="s">
        <v>10</v>
      </c>
      <c r="E1831" t="s">
        <v>232</v>
      </c>
      <c r="F1831" t="s">
        <v>158</v>
      </c>
      <c r="G1831" t="s">
        <v>22</v>
      </c>
      <c r="I1831" s="42">
        <v>746.99</v>
      </c>
      <c r="J1831" s="42"/>
      <c r="K1831" s="42">
        <v>1.99</v>
      </c>
      <c r="L1831" s="42">
        <v>745</v>
      </c>
      <c r="N1831" s="42">
        <v>745</v>
      </c>
    </row>
    <row r="1832" spans="1:14" x14ac:dyDescent="0.25">
      <c r="A1832" s="1">
        <v>46070</v>
      </c>
      <c r="B1832">
        <v>3</v>
      </c>
      <c r="C1832" t="s">
        <v>541</v>
      </c>
      <c r="D1832" t="s">
        <v>10</v>
      </c>
      <c r="E1832" t="s">
        <v>236</v>
      </c>
      <c r="F1832" t="s">
        <v>158</v>
      </c>
      <c r="G1832" t="s">
        <v>104</v>
      </c>
      <c r="I1832" s="42">
        <v>746.99</v>
      </c>
      <c r="J1832" s="42">
        <v>120</v>
      </c>
      <c r="K1832" s="42"/>
      <c r="L1832" s="42">
        <v>866.99</v>
      </c>
      <c r="N1832" s="42">
        <v>866.99</v>
      </c>
    </row>
    <row r="1833" spans="1:14" x14ac:dyDescent="0.25">
      <c r="A1833" s="1">
        <v>46070</v>
      </c>
      <c r="B1833">
        <v>3</v>
      </c>
      <c r="C1833" t="s">
        <v>541</v>
      </c>
      <c r="D1833" t="s">
        <v>10</v>
      </c>
      <c r="E1833" t="s">
        <v>238</v>
      </c>
      <c r="F1833" t="s">
        <v>158</v>
      </c>
      <c r="G1833" t="s">
        <v>66</v>
      </c>
      <c r="I1833" s="42">
        <v>746.99</v>
      </c>
      <c r="J1833" s="42"/>
      <c r="K1833" s="42">
        <v>0.99</v>
      </c>
      <c r="L1833" s="42">
        <v>746</v>
      </c>
      <c r="N1833" s="42">
        <v>746</v>
      </c>
    </row>
    <row r="1834" spans="1:14" x14ac:dyDescent="0.25">
      <c r="A1834" s="1">
        <v>46070</v>
      </c>
      <c r="B1834">
        <v>3</v>
      </c>
      <c r="C1834" t="s">
        <v>541</v>
      </c>
      <c r="D1834" t="s">
        <v>10</v>
      </c>
      <c r="E1834" t="s">
        <v>240</v>
      </c>
      <c r="F1834" t="s">
        <v>158</v>
      </c>
      <c r="G1834" t="s">
        <v>111</v>
      </c>
      <c r="I1834" s="42">
        <v>746.99</v>
      </c>
      <c r="J1834" s="42">
        <v>30</v>
      </c>
      <c r="K1834" s="42"/>
      <c r="L1834" s="42">
        <v>776.99</v>
      </c>
      <c r="N1834" s="42">
        <v>776.99</v>
      </c>
    </row>
    <row r="1835" spans="1:14" x14ac:dyDescent="0.25">
      <c r="A1835" s="1">
        <v>46070</v>
      </c>
      <c r="B1835">
        <v>3</v>
      </c>
      <c r="C1835" t="s">
        <v>541</v>
      </c>
      <c r="D1835" t="s">
        <v>10</v>
      </c>
      <c r="E1835" t="s">
        <v>242</v>
      </c>
      <c r="F1835" t="s">
        <v>217</v>
      </c>
      <c r="G1835" t="s">
        <v>13</v>
      </c>
      <c r="I1835" s="42">
        <v>745</v>
      </c>
      <c r="J1835" s="42">
        <v>5</v>
      </c>
      <c r="K1835" s="42"/>
      <c r="L1835" s="42">
        <v>750</v>
      </c>
      <c r="N1835" s="42">
        <v>750</v>
      </c>
    </row>
    <row r="1836" spans="1:14" x14ac:dyDescent="0.25">
      <c r="A1836" s="1">
        <v>46070</v>
      </c>
      <c r="B1836">
        <v>3</v>
      </c>
      <c r="C1836" t="s">
        <v>542</v>
      </c>
      <c r="D1836" t="s">
        <v>136</v>
      </c>
      <c r="E1836" t="s">
        <v>247</v>
      </c>
      <c r="F1836" t="s">
        <v>12</v>
      </c>
      <c r="G1836" t="s">
        <v>104</v>
      </c>
      <c r="I1836" s="42">
        <v>746.99</v>
      </c>
      <c r="J1836" s="42"/>
      <c r="K1836" s="42"/>
      <c r="L1836" s="42">
        <v>746.99</v>
      </c>
      <c r="N1836" s="42"/>
    </row>
    <row r="1837" spans="1:14" x14ac:dyDescent="0.25">
      <c r="A1837" s="1">
        <v>46070</v>
      </c>
      <c r="B1837">
        <v>3</v>
      </c>
      <c r="C1837" t="s">
        <v>541</v>
      </c>
      <c r="D1837" t="s">
        <v>336</v>
      </c>
      <c r="E1837" t="s">
        <v>248</v>
      </c>
      <c r="F1837" t="s">
        <v>12</v>
      </c>
      <c r="G1837" t="s">
        <v>13</v>
      </c>
      <c r="I1837" s="42">
        <v>746.99</v>
      </c>
      <c r="J1837" s="42"/>
      <c r="K1837" s="42"/>
      <c r="L1837" s="42">
        <v>746.99</v>
      </c>
      <c r="N1837" s="42"/>
    </row>
    <row r="1838" spans="1:14" x14ac:dyDescent="0.25">
      <c r="A1838" s="1">
        <v>46070</v>
      </c>
      <c r="B1838">
        <v>3</v>
      </c>
      <c r="C1838" t="s">
        <v>541</v>
      </c>
      <c r="D1838" t="s">
        <v>10</v>
      </c>
      <c r="E1838" t="s">
        <v>252</v>
      </c>
      <c r="F1838" t="s">
        <v>158</v>
      </c>
      <c r="G1838" t="s">
        <v>22</v>
      </c>
      <c r="I1838" s="42">
        <v>746.99</v>
      </c>
      <c r="J1838" s="42"/>
      <c r="K1838" s="42"/>
      <c r="L1838" s="42">
        <v>746.99</v>
      </c>
      <c r="N1838" s="42">
        <v>746.99</v>
      </c>
    </row>
    <row r="1839" spans="1:14" x14ac:dyDescent="0.25">
      <c r="A1839" s="1">
        <v>46070</v>
      </c>
      <c r="B1839">
        <v>3</v>
      </c>
      <c r="C1839" t="s">
        <v>541</v>
      </c>
      <c r="D1839" t="s">
        <v>10</v>
      </c>
      <c r="E1839" t="s">
        <v>254</v>
      </c>
      <c r="F1839" t="s">
        <v>255</v>
      </c>
      <c r="G1839" t="s">
        <v>66</v>
      </c>
      <c r="I1839" s="42">
        <v>851.99</v>
      </c>
      <c r="J1839" s="42"/>
      <c r="K1839" s="42">
        <v>1.99</v>
      </c>
      <c r="L1839" s="42">
        <v>850</v>
      </c>
      <c r="N1839" s="42">
        <v>850</v>
      </c>
    </row>
    <row r="1840" spans="1:14" x14ac:dyDescent="0.25">
      <c r="A1840" s="1">
        <v>46070</v>
      </c>
      <c r="B1840">
        <v>3</v>
      </c>
      <c r="C1840" t="s">
        <v>541</v>
      </c>
      <c r="D1840" t="s">
        <v>10</v>
      </c>
      <c r="E1840" t="s">
        <v>329</v>
      </c>
      <c r="F1840" t="s">
        <v>158</v>
      </c>
      <c r="G1840" t="s">
        <v>104</v>
      </c>
      <c r="I1840" s="42">
        <v>746.99</v>
      </c>
      <c r="J1840" s="42"/>
      <c r="K1840" s="42"/>
      <c r="L1840" s="42">
        <v>746.99</v>
      </c>
      <c r="N1840" s="42">
        <v>746.99</v>
      </c>
    </row>
    <row r="1841" spans="1:14" x14ac:dyDescent="0.25">
      <c r="A1841" s="1">
        <v>46070</v>
      </c>
      <c r="B1841">
        <v>3</v>
      </c>
      <c r="C1841" t="s">
        <v>541</v>
      </c>
      <c r="D1841" t="s">
        <v>10</v>
      </c>
      <c r="E1841" t="s">
        <v>259</v>
      </c>
      <c r="F1841" t="s">
        <v>260</v>
      </c>
      <c r="G1841" t="s">
        <v>261</v>
      </c>
      <c r="I1841" s="42">
        <v>881.99</v>
      </c>
      <c r="J1841" s="42"/>
      <c r="K1841" s="42"/>
      <c r="L1841" s="42">
        <v>881.99</v>
      </c>
      <c r="N1841" s="42">
        <v>881.99</v>
      </c>
    </row>
    <row r="1842" spans="1:14" x14ac:dyDescent="0.25">
      <c r="A1842" s="1">
        <v>46070</v>
      </c>
      <c r="B1842">
        <v>3</v>
      </c>
      <c r="C1842" t="s">
        <v>542</v>
      </c>
      <c r="D1842" t="s">
        <v>99</v>
      </c>
      <c r="E1842" t="s">
        <v>263</v>
      </c>
      <c r="F1842" t="s">
        <v>264</v>
      </c>
      <c r="G1842" t="s">
        <v>66</v>
      </c>
      <c r="I1842" s="42">
        <v>746.99</v>
      </c>
      <c r="J1842" s="42"/>
      <c r="K1842" s="42"/>
      <c r="L1842" s="42">
        <v>746.99</v>
      </c>
      <c r="N1842" s="42"/>
    </row>
    <row r="1843" spans="1:14" x14ac:dyDescent="0.25">
      <c r="A1843" s="1">
        <v>46070</v>
      </c>
      <c r="B1843">
        <v>3</v>
      </c>
      <c r="C1843" t="s">
        <v>541</v>
      </c>
      <c r="D1843" t="s">
        <v>10</v>
      </c>
      <c r="E1843" t="s">
        <v>266</v>
      </c>
      <c r="F1843" t="s">
        <v>55</v>
      </c>
      <c r="G1843" t="s">
        <v>13</v>
      </c>
      <c r="I1843" s="42">
        <v>746.99</v>
      </c>
      <c r="J1843" s="42"/>
      <c r="K1843" s="42">
        <v>106.71</v>
      </c>
      <c r="L1843" s="42">
        <v>640.28</v>
      </c>
      <c r="N1843" s="42">
        <v>640.28</v>
      </c>
    </row>
    <row r="1844" spans="1:14" x14ac:dyDescent="0.25">
      <c r="A1844" s="1">
        <v>46070</v>
      </c>
      <c r="B1844">
        <v>3</v>
      </c>
      <c r="C1844" t="s">
        <v>541</v>
      </c>
      <c r="D1844" t="s">
        <v>336</v>
      </c>
      <c r="E1844" t="s">
        <v>268</v>
      </c>
      <c r="F1844" t="s">
        <v>52</v>
      </c>
      <c r="G1844" t="s">
        <v>77</v>
      </c>
      <c r="I1844" s="42">
        <v>1251.99</v>
      </c>
      <c r="J1844" s="42"/>
      <c r="K1844" s="42"/>
      <c r="L1844" s="42">
        <v>1251.99</v>
      </c>
      <c r="N1844" s="42"/>
    </row>
    <row r="1845" spans="1:14" x14ac:dyDescent="0.25">
      <c r="A1845" s="1">
        <v>46070</v>
      </c>
      <c r="B1845">
        <v>3</v>
      </c>
      <c r="C1845" t="s">
        <v>541</v>
      </c>
      <c r="D1845" t="s">
        <v>10</v>
      </c>
      <c r="E1845" t="s">
        <v>270</v>
      </c>
      <c r="F1845" t="s">
        <v>12</v>
      </c>
      <c r="G1845" t="s">
        <v>13</v>
      </c>
      <c r="I1845" s="42">
        <v>746.99</v>
      </c>
      <c r="J1845" s="42"/>
      <c r="K1845" s="42"/>
      <c r="L1845" s="42">
        <v>746.99</v>
      </c>
      <c r="N1845" s="42">
        <v>746.99</v>
      </c>
    </row>
    <row r="1846" spans="1:14" x14ac:dyDescent="0.25">
      <c r="A1846" s="1">
        <v>46070</v>
      </c>
      <c r="B1846">
        <v>3</v>
      </c>
      <c r="C1846" t="s">
        <v>541</v>
      </c>
      <c r="D1846" t="s">
        <v>10</v>
      </c>
      <c r="E1846" t="s">
        <v>272</v>
      </c>
      <c r="F1846" t="s">
        <v>37</v>
      </c>
      <c r="G1846" t="s">
        <v>38</v>
      </c>
      <c r="I1846" s="42">
        <v>746.99</v>
      </c>
      <c r="J1846" s="42">
        <v>29.01</v>
      </c>
      <c r="K1846" s="42"/>
      <c r="L1846" s="42">
        <v>776</v>
      </c>
      <c r="N1846" s="42">
        <v>776</v>
      </c>
    </row>
    <row r="1847" spans="1:14" x14ac:dyDescent="0.25">
      <c r="A1847" s="1">
        <v>46070</v>
      </c>
      <c r="B1847">
        <v>3</v>
      </c>
      <c r="C1847" t="s">
        <v>542</v>
      </c>
      <c r="D1847" t="s">
        <v>336</v>
      </c>
      <c r="E1847" t="s">
        <v>173</v>
      </c>
      <c r="F1847" t="s">
        <v>52</v>
      </c>
      <c r="G1847" t="s">
        <v>77</v>
      </c>
      <c r="I1847" s="42">
        <v>1251.99</v>
      </c>
      <c r="J1847" s="42"/>
      <c r="K1847" s="42"/>
      <c r="L1847" s="42">
        <v>1251.99</v>
      </c>
      <c r="N1847" s="42"/>
    </row>
    <row r="1848" spans="1:14" x14ac:dyDescent="0.25">
      <c r="A1848" s="1">
        <v>46070</v>
      </c>
      <c r="B1848">
        <v>3</v>
      </c>
      <c r="C1848" t="s">
        <v>541</v>
      </c>
      <c r="D1848" t="s">
        <v>10</v>
      </c>
      <c r="E1848" t="s">
        <v>274</v>
      </c>
      <c r="F1848" t="s">
        <v>52</v>
      </c>
      <c r="G1848" t="s">
        <v>77</v>
      </c>
      <c r="I1848" s="42">
        <v>1251.99</v>
      </c>
      <c r="J1848" s="42">
        <v>60.01</v>
      </c>
      <c r="K1848" s="42"/>
      <c r="L1848" s="42">
        <v>1312</v>
      </c>
      <c r="N1848" s="42">
        <v>1312</v>
      </c>
    </row>
    <row r="1849" spans="1:14" x14ac:dyDescent="0.25">
      <c r="A1849" s="1">
        <v>46070</v>
      </c>
      <c r="B1849">
        <v>3</v>
      </c>
      <c r="C1849" t="s">
        <v>541</v>
      </c>
      <c r="D1849" t="s">
        <v>10</v>
      </c>
      <c r="E1849" t="s">
        <v>276</v>
      </c>
      <c r="F1849" t="s">
        <v>277</v>
      </c>
      <c r="G1849" t="s">
        <v>13</v>
      </c>
      <c r="I1849" s="42">
        <v>746.99</v>
      </c>
      <c r="J1849" s="42">
        <v>38.01</v>
      </c>
      <c r="K1849" s="42"/>
      <c r="L1849" s="42">
        <v>785</v>
      </c>
      <c r="N1849" s="42">
        <v>785</v>
      </c>
    </row>
    <row r="1850" spans="1:14" x14ac:dyDescent="0.25">
      <c r="A1850" s="1">
        <v>46070</v>
      </c>
      <c r="B1850">
        <v>3</v>
      </c>
      <c r="C1850" t="s">
        <v>541</v>
      </c>
      <c r="D1850" t="s">
        <v>10</v>
      </c>
      <c r="E1850" t="s">
        <v>279</v>
      </c>
      <c r="F1850" t="s">
        <v>55</v>
      </c>
      <c r="G1850" t="s">
        <v>56</v>
      </c>
      <c r="I1850" s="42">
        <v>746.99</v>
      </c>
      <c r="J1850" s="42">
        <v>0.01</v>
      </c>
      <c r="K1850" s="42"/>
      <c r="L1850" s="42">
        <v>747</v>
      </c>
      <c r="M1850" s="37">
        <v>401.44</v>
      </c>
      <c r="N1850" s="42">
        <v>747</v>
      </c>
    </row>
    <row r="1851" spans="1:14" x14ac:dyDescent="0.25">
      <c r="A1851" s="1">
        <v>46070</v>
      </c>
      <c r="B1851">
        <v>3</v>
      </c>
      <c r="C1851" t="s">
        <v>542</v>
      </c>
      <c r="D1851" t="s">
        <v>99</v>
      </c>
      <c r="E1851" t="s">
        <v>281</v>
      </c>
      <c r="F1851" t="s">
        <v>55</v>
      </c>
      <c r="G1851" t="s">
        <v>56</v>
      </c>
      <c r="I1851" s="42">
        <v>746.99</v>
      </c>
      <c r="J1851" s="42"/>
      <c r="K1851" s="42"/>
      <c r="L1851" s="42">
        <v>746.99</v>
      </c>
      <c r="N1851" s="42"/>
    </row>
    <row r="1852" spans="1:14" x14ac:dyDescent="0.25">
      <c r="A1852" s="1">
        <v>46070</v>
      </c>
      <c r="B1852">
        <v>3</v>
      </c>
      <c r="C1852" t="s">
        <v>541</v>
      </c>
      <c r="D1852" t="s">
        <v>10</v>
      </c>
      <c r="E1852" t="s">
        <v>310</v>
      </c>
      <c r="F1852" t="s">
        <v>28</v>
      </c>
      <c r="G1852" t="s">
        <v>13</v>
      </c>
      <c r="I1852" s="42">
        <v>931.99</v>
      </c>
      <c r="J1852" s="42"/>
      <c r="K1852" s="42">
        <v>1.99</v>
      </c>
      <c r="L1852" s="42">
        <v>930</v>
      </c>
      <c r="N1852" s="42">
        <v>930</v>
      </c>
    </row>
    <row r="1853" spans="1:14" x14ac:dyDescent="0.25">
      <c r="A1853" s="1">
        <v>46070</v>
      </c>
      <c r="B1853">
        <v>3</v>
      </c>
      <c r="C1853" t="s">
        <v>541</v>
      </c>
      <c r="D1853" t="s">
        <v>10</v>
      </c>
      <c r="E1853" t="s">
        <v>283</v>
      </c>
      <c r="F1853" t="s">
        <v>76</v>
      </c>
      <c r="G1853" t="s">
        <v>77</v>
      </c>
      <c r="I1853" s="42">
        <v>1451.99</v>
      </c>
      <c r="J1853" s="42"/>
      <c r="K1853" s="42"/>
      <c r="L1853" s="42">
        <v>1451.99</v>
      </c>
      <c r="N1853" s="42">
        <v>1451.99</v>
      </c>
    </row>
    <row r="1854" spans="1:14" x14ac:dyDescent="0.25">
      <c r="A1854" s="1">
        <v>46070</v>
      </c>
      <c r="B1854">
        <v>3</v>
      </c>
      <c r="C1854" t="s">
        <v>541</v>
      </c>
      <c r="D1854" t="s">
        <v>10</v>
      </c>
      <c r="E1854" t="s">
        <v>285</v>
      </c>
      <c r="F1854" t="s">
        <v>76</v>
      </c>
      <c r="G1854" t="s">
        <v>77</v>
      </c>
      <c r="I1854" s="42">
        <v>1451.99</v>
      </c>
      <c r="J1854" s="42">
        <v>30</v>
      </c>
      <c r="K1854" s="42"/>
      <c r="L1854" s="42">
        <v>1481.99</v>
      </c>
      <c r="N1854" s="42">
        <v>1481.99</v>
      </c>
    </row>
    <row r="1855" spans="1:14" x14ac:dyDescent="0.25">
      <c r="A1855" s="1">
        <v>46070</v>
      </c>
      <c r="B1855">
        <v>3</v>
      </c>
      <c r="C1855" t="s">
        <v>541</v>
      </c>
      <c r="D1855" t="s">
        <v>10</v>
      </c>
      <c r="E1855" t="s">
        <v>293</v>
      </c>
      <c r="F1855" t="s">
        <v>294</v>
      </c>
      <c r="G1855" t="s">
        <v>13</v>
      </c>
      <c r="I1855" s="42">
        <v>746.99</v>
      </c>
      <c r="J1855" s="42"/>
      <c r="K1855" s="42"/>
      <c r="L1855" s="42">
        <v>746.99</v>
      </c>
      <c r="N1855" s="42">
        <v>746.99</v>
      </c>
    </row>
    <row r="1856" spans="1:14" x14ac:dyDescent="0.25">
      <c r="A1856" s="1">
        <v>46070</v>
      </c>
      <c r="B1856">
        <v>3</v>
      </c>
      <c r="C1856" t="s">
        <v>541</v>
      </c>
      <c r="D1856" t="s">
        <v>10</v>
      </c>
      <c r="E1856" t="s">
        <v>295</v>
      </c>
      <c r="F1856" t="s">
        <v>33</v>
      </c>
      <c r="G1856" t="s">
        <v>13</v>
      </c>
      <c r="I1856" s="42">
        <v>851.99</v>
      </c>
      <c r="J1856" s="42"/>
      <c r="K1856" s="42"/>
      <c r="L1856" s="42">
        <v>851.99</v>
      </c>
      <c r="N1856" s="42">
        <v>851.99</v>
      </c>
    </row>
    <row r="1857" spans="1:14" x14ac:dyDescent="0.25">
      <c r="A1857" s="1">
        <v>46070</v>
      </c>
      <c r="B1857">
        <v>3</v>
      </c>
      <c r="C1857" t="s">
        <v>541</v>
      </c>
      <c r="D1857" t="s">
        <v>10</v>
      </c>
      <c r="E1857" t="s">
        <v>108</v>
      </c>
      <c r="F1857" t="s">
        <v>55</v>
      </c>
      <c r="G1857" t="s">
        <v>104</v>
      </c>
      <c r="I1857" s="42">
        <v>746.99</v>
      </c>
      <c r="J1857" s="42"/>
      <c r="K1857" s="42"/>
      <c r="L1857" s="42">
        <v>746.99</v>
      </c>
      <c r="N1857" s="42">
        <v>746.99</v>
      </c>
    </row>
    <row r="1858" spans="1:14" x14ac:dyDescent="0.25">
      <c r="A1858" s="1">
        <v>46070</v>
      </c>
      <c r="B1858">
        <v>3</v>
      </c>
      <c r="C1858" t="s">
        <v>541</v>
      </c>
      <c r="D1858" t="s">
        <v>336</v>
      </c>
      <c r="E1858" t="s">
        <v>100</v>
      </c>
      <c r="F1858" t="s">
        <v>101</v>
      </c>
      <c r="G1858" t="s">
        <v>13</v>
      </c>
      <c r="I1858" s="42">
        <v>1351.99</v>
      </c>
      <c r="J1858" s="42"/>
      <c r="K1858" s="42"/>
      <c r="L1858" s="42">
        <v>1351.99</v>
      </c>
      <c r="N1858" s="42"/>
    </row>
    <row r="1859" spans="1:14" x14ac:dyDescent="0.25">
      <c r="A1859" s="1">
        <v>46070</v>
      </c>
      <c r="B1859">
        <v>3</v>
      </c>
      <c r="C1859" t="s">
        <v>541</v>
      </c>
      <c r="D1859" t="s">
        <v>10</v>
      </c>
      <c r="E1859" t="s">
        <v>204</v>
      </c>
      <c r="F1859" t="s">
        <v>12</v>
      </c>
      <c r="G1859" t="s">
        <v>13</v>
      </c>
      <c r="I1859" s="42">
        <v>746.99</v>
      </c>
      <c r="J1859" s="42"/>
      <c r="K1859" s="42"/>
      <c r="L1859" s="42">
        <v>746.99</v>
      </c>
      <c r="N1859" s="42">
        <v>746.99</v>
      </c>
    </row>
    <row r="1860" spans="1:14" x14ac:dyDescent="0.25">
      <c r="A1860" s="1">
        <v>46070</v>
      </c>
      <c r="B1860">
        <v>3</v>
      </c>
      <c r="C1860" t="s">
        <v>541</v>
      </c>
      <c r="D1860" t="s">
        <v>10</v>
      </c>
      <c r="E1860" t="s">
        <v>209</v>
      </c>
      <c r="F1860" t="s">
        <v>33</v>
      </c>
      <c r="G1860" t="s">
        <v>13</v>
      </c>
      <c r="I1860" s="42">
        <v>851.99</v>
      </c>
      <c r="J1860" s="42"/>
      <c r="K1860" s="42"/>
      <c r="L1860" s="42">
        <v>851.99</v>
      </c>
      <c r="N1860" s="42">
        <v>851.99</v>
      </c>
    </row>
    <row r="1861" spans="1:14" x14ac:dyDescent="0.25">
      <c r="A1861" s="1">
        <v>46070</v>
      </c>
      <c r="B1861">
        <v>3</v>
      </c>
      <c r="C1861" t="s">
        <v>541</v>
      </c>
      <c r="D1861" t="s">
        <v>10</v>
      </c>
      <c r="E1861" t="s">
        <v>341</v>
      </c>
      <c r="F1861" t="s">
        <v>52</v>
      </c>
      <c r="G1861" t="s">
        <v>183</v>
      </c>
      <c r="I1861" s="42">
        <v>1251.99</v>
      </c>
      <c r="J1861" s="42"/>
      <c r="K1861" s="42"/>
      <c r="L1861" s="42">
        <v>1251.99</v>
      </c>
      <c r="N1861" s="42">
        <v>1251.99</v>
      </c>
    </row>
    <row r="1862" spans="1:14" x14ac:dyDescent="0.25">
      <c r="A1862" s="1">
        <v>46070</v>
      </c>
      <c r="B1862">
        <v>3</v>
      </c>
      <c r="C1862" t="s">
        <v>541</v>
      </c>
      <c r="D1862" t="s">
        <v>10</v>
      </c>
      <c r="E1862" t="s">
        <v>175</v>
      </c>
      <c r="F1862" t="s">
        <v>52</v>
      </c>
      <c r="G1862" t="s">
        <v>77</v>
      </c>
      <c r="I1862" s="42">
        <v>1251.99</v>
      </c>
      <c r="J1862" s="42"/>
      <c r="K1862" s="42"/>
      <c r="L1862" s="42">
        <v>1251.99</v>
      </c>
      <c r="M1862" s="37">
        <v>70</v>
      </c>
      <c r="N1862" s="42">
        <v>1251.99</v>
      </c>
    </row>
    <row r="1863" spans="1:14" x14ac:dyDescent="0.25">
      <c r="A1863" s="1">
        <v>46070</v>
      </c>
      <c r="B1863">
        <v>3</v>
      </c>
      <c r="C1863" t="s">
        <v>541</v>
      </c>
      <c r="D1863" t="s">
        <v>10</v>
      </c>
      <c r="E1863" t="s">
        <v>342</v>
      </c>
      <c r="F1863" t="s">
        <v>41</v>
      </c>
      <c r="G1863" t="s">
        <v>13</v>
      </c>
      <c r="I1863" s="42">
        <v>746.99</v>
      </c>
      <c r="J1863" s="42"/>
      <c r="K1863" s="42"/>
      <c r="L1863" s="42">
        <v>1041.99</v>
      </c>
      <c r="N1863" s="42">
        <v>746.99</v>
      </c>
    </row>
    <row r="1864" spans="1:14" x14ac:dyDescent="0.25">
      <c r="A1864" s="1">
        <v>46070</v>
      </c>
      <c r="B1864">
        <v>3</v>
      </c>
      <c r="C1864" t="s">
        <v>541</v>
      </c>
      <c r="D1864" t="s">
        <v>10</v>
      </c>
      <c r="E1864" t="s">
        <v>221</v>
      </c>
      <c r="F1864" t="s">
        <v>37</v>
      </c>
      <c r="G1864" t="s">
        <v>70</v>
      </c>
      <c r="I1864" s="42">
        <v>746.99</v>
      </c>
      <c r="J1864" s="42"/>
      <c r="K1864" s="42"/>
      <c r="L1864" s="42">
        <v>1241.99</v>
      </c>
      <c r="N1864" s="42">
        <v>746.99</v>
      </c>
    </row>
    <row r="1865" spans="1:14" x14ac:dyDescent="0.25">
      <c r="A1865" s="1">
        <v>46070</v>
      </c>
      <c r="B1865">
        <v>3</v>
      </c>
      <c r="C1865" t="s">
        <v>541</v>
      </c>
      <c r="D1865" t="s">
        <v>10</v>
      </c>
      <c r="E1865" t="s">
        <v>49</v>
      </c>
      <c r="F1865" t="s">
        <v>12</v>
      </c>
      <c r="G1865" t="s">
        <v>13</v>
      </c>
      <c r="I1865" s="42">
        <v>746.99</v>
      </c>
      <c r="J1865" s="42"/>
      <c r="K1865" s="42"/>
      <c r="L1865" s="42">
        <v>1241.99</v>
      </c>
      <c r="N1865" s="42">
        <v>746.99</v>
      </c>
    </row>
    <row r="1866" spans="1:14" x14ac:dyDescent="0.25">
      <c r="A1866" s="1">
        <v>46070</v>
      </c>
      <c r="B1866">
        <v>3</v>
      </c>
      <c r="C1866" t="s">
        <v>542</v>
      </c>
      <c r="D1866" t="s">
        <v>99</v>
      </c>
      <c r="E1866" t="s">
        <v>168</v>
      </c>
      <c r="F1866" t="s">
        <v>69</v>
      </c>
      <c r="G1866" t="s">
        <v>169</v>
      </c>
      <c r="I1866" s="42">
        <v>746.99</v>
      </c>
      <c r="J1866" s="42"/>
      <c r="K1866" s="42"/>
      <c r="L1866" s="42">
        <v>746.99</v>
      </c>
      <c r="N1866" s="42"/>
    </row>
    <row r="1867" spans="1:14" x14ac:dyDescent="0.25">
      <c r="A1867" s="1">
        <v>46070</v>
      </c>
      <c r="B1867">
        <v>3</v>
      </c>
      <c r="C1867" t="s">
        <v>541</v>
      </c>
      <c r="D1867" t="s">
        <v>10</v>
      </c>
      <c r="E1867" t="s">
        <v>205</v>
      </c>
      <c r="F1867" t="s">
        <v>33</v>
      </c>
      <c r="G1867" t="s">
        <v>13</v>
      </c>
      <c r="I1867" s="42">
        <v>851.99</v>
      </c>
      <c r="J1867" s="42"/>
      <c r="K1867" s="42">
        <v>851.99</v>
      </c>
      <c r="L1867" s="42">
        <v>0</v>
      </c>
      <c r="N1867" s="42"/>
    </row>
    <row r="1868" spans="1:14" x14ac:dyDescent="0.25">
      <c r="A1868" s="1">
        <v>46070</v>
      </c>
      <c r="B1868">
        <v>3</v>
      </c>
      <c r="C1868" t="s">
        <v>542</v>
      </c>
      <c r="D1868" t="s">
        <v>99</v>
      </c>
      <c r="E1868" t="s">
        <v>297</v>
      </c>
      <c r="F1868" t="s">
        <v>298</v>
      </c>
      <c r="G1868" t="s">
        <v>299</v>
      </c>
      <c r="I1868" s="42">
        <v>746.99</v>
      </c>
      <c r="J1868" s="42"/>
      <c r="K1868" s="42"/>
      <c r="L1868" s="42">
        <v>746.99</v>
      </c>
      <c r="N1868" s="42"/>
    </row>
    <row r="1869" spans="1:14" x14ac:dyDescent="0.25">
      <c r="A1869" s="1">
        <v>46070</v>
      </c>
      <c r="B1869">
        <v>3</v>
      </c>
      <c r="C1869" t="s">
        <v>542</v>
      </c>
      <c r="D1869" t="s">
        <v>99</v>
      </c>
      <c r="E1869" t="s">
        <v>313</v>
      </c>
      <c r="F1869" t="s">
        <v>52</v>
      </c>
      <c r="G1869" t="s">
        <v>314</v>
      </c>
      <c r="I1869" s="42">
        <v>1251.99</v>
      </c>
      <c r="J1869" s="42"/>
      <c r="K1869" s="42"/>
      <c r="L1869" s="42">
        <v>1251.99</v>
      </c>
      <c r="N1869" s="42"/>
    </row>
    <row r="1870" spans="1:14" x14ac:dyDescent="0.25">
      <c r="A1870" s="1">
        <v>46070</v>
      </c>
      <c r="B1870">
        <v>3</v>
      </c>
      <c r="C1870" t="s">
        <v>542</v>
      </c>
      <c r="D1870" t="s">
        <v>99</v>
      </c>
      <c r="E1870" t="s">
        <v>317</v>
      </c>
      <c r="F1870" t="s">
        <v>101</v>
      </c>
      <c r="G1870" t="s">
        <v>13</v>
      </c>
      <c r="I1870" s="42">
        <v>1351.99</v>
      </c>
      <c r="J1870" s="42"/>
      <c r="K1870" s="42"/>
      <c r="L1870" s="42">
        <v>1351.99</v>
      </c>
      <c r="N1870" s="42"/>
    </row>
    <row r="1871" spans="1:14" x14ac:dyDescent="0.25">
      <c r="A1871" s="1">
        <v>46070</v>
      </c>
      <c r="B1871">
        <v>3</v>
      </c>
      <c r="C1871" t="s">
        <v>542</v>
      </c>
      <c r="D1871" t="s">
        <v>99</v>
      </c>
      <c r="E1871" t="s">
        <v>318</v>
      </c>
      <c r="F1871" t="s">
        <v>12</v>
      </c>
      <c r="G1871" t="s">
        <v>13</v>
      </c>
      <c r="I1871" s="42">
        <v>746.99</v>
      </c>
      <c r="J1871" s="42"/>
      <c r="K1871" s="42"/>
      <c r="L1871" s="42">
        <v>746.99</v>
      </c>
      <c r="N1871" s="42"/>
    </row>
    <row r="1872" spans="1:14" x14ac:dyDescent="0.25">
      <c r="A1872" s="1">
        <v>46070</v>
      </c>
      <c r="B1872">
        <v>3</v>
      </c>
      <c r="C1872" t="s">
        <v>542</v>
      </c>
      <c r="D1872" t="s">
        <v>99</v>
      </c>
      <c r="E1872" t="s">
        <v>319</v>
      </c>
      <c r="F1872" t="s">
        <v>158</v>
      </c>
      <c r="G1872" t="s">
        <v>13</v>
      </c>
      <c r="I1872" s="42">
        <v>746.99</v>
      </c>
      <c r="J1872" s="42"/>
      <c r="K1872" s="42"/>
      <c r="L1872" s="42">
        <v>746.99</v>
      </c>
      <c r="N1872" s="42"/>
    </row>
    <row r="1873" spans="1:14" x14ac:dyDescent="0.25">
      <c r="A1873" s="1">
        <v>46070</v>
      </c>
      <c r="B1873">
        <v>3</v>
      </c>
      <c r="C1873" t="s">
        <v>542</v>
      </c>
      <c r="D1873" t="s">
        <v>99</v>
      </c>
      <c r="E1873" t="s">
        <v>320</v>
      </c>
      <c r="F1873" t="s">
        <v>55</v>
      </c>
      <c r="G1873" t="s">
        <v>13</v>
      </c>
      <c r="I1873" s="42">
        <v>746.99</v>
      </c>
      <c r="J1873" s="42"/>
      <c r="K1873" s="42"/>
      <c r="L1873" s="42">
        <v>746.99</v>
      </c>
      <c r="N1873" s="42"/>
    </row>
    <row r="1874" spans="1:14" x14ac:dyDescent="0.25">
      <c r="A1874" s="1">
        <v>46070</v>
      </c>
      <c r="B1874">
        <v>3</v>
      </c>
      <c r="C1874" t="s">
        <v>541</v>
      </c>
      <c r="D1874" t="s">
        <v>10</v>
      </c>
      <c r="E1874" t="s">
        <v>322</v>
      </c>
      <c r="F1874" t="s">
        <v>158</v>
      </c>
      <c r="G1874" t="s">
        <v>13</v>
      </c>
      <c r="I1874" s="42">
        <v>746.99</v>
      </c>
      <c r="J1874" s="42"/>
      <c r="K1874" s="42"/>
      <c r="L1874" s="42">
        <v>1241.99</v>
      </c>
      <c r="N1874" s="42">
        <v>746.99</v>
      </c>
    </row>
    <row r="1875" spans="1:14" x14ac:dyDescent="0.25">
      <c r="A1875" s="1">
        <v>46070</v>
      </c>
      <c r="B1875">
        <v>3</v>
      </c>
      <c r="C1875" t="s">
        <v>542</v>
      </c>
      <c r="D1875" t="s">
        <v>99</v>
      </c>
      <c r="E1875" t="s">
        <v>323</v>
      </c>
      <c r="F1875" t="s">
        <v>158</v>
      </c>
      <c r="G1875" t="s">
        <v>13</v>
      </c>
      <c r="I1875" s="42">
        <v>746.99</v>
      </c>
      <c r="J1875" s="42"/>
      <c r="K1875" s="42"/>
      <c r="L1875" s="42">
        <v>746.99</v>
      </c>
      <c r="N1875" s="42"/>
    </row>
    <row r="1876" spans="1:14" x14ac:dyDescent="0.25">
      <c r="A1876" s="1">
        <v>46070</v>
      </c>
      <c r="B1876">
        <v>3</v>
      </c>
      <c r="C1876" t="s">
        <v>542</v>
      </c>
      <c r="D1876" t="s">
        <v>99</v>
      </c>
      <c r="E1876" t="s">
        <v>324</v>
      </c>
      <c r="F1876" t="s">
        <v>158</v>
      </c>
      <c r="G1876" t="s">
        <v>13</v>
      </c>
      <c r="I1876" s="42">
        <v>746</v>
      </c>
      <c r="J1876" s="42"/>
      <c r="K1876" s="42"/>
      <c r="L1876" s="42">
        <v>746</v>
      </c>
      <c r="N1876" s="42"/>
    </row>
    <row r="1877" spans="1:14" x14ac:dyDescent="0.25">
      <c r="A1877" s="1">
        <v>46070</v>
      </c>
      <c r="B1877">
        <v>3</v>
      </c>
      <c r="C1877" t="s">
        <v>542</v>
      </c>
      <c r="D1877" t="s">
        <v>99</v>
      </c>
      <c r="E1877" t="s">
        <v>325</v>
      </c>
      <c r="F1877" t="s">
        <v>158</v>
      </c>
      <c r="G1877" t="s">
        <v>13</v>
      </c>
      <c r="I1877" s="42">
        <v>746.99</v>
      </c>
      <c r="J1877" s="42"/>
      <c r="K1877" s="42"/>
      <c r="L1877" s="42">
        <v>746.99</v>
      </c>
      <c r="N1877" s="42"/>
    </row>
    <row r="1878" spans="1:14" x14ac:dyDescent="0.25">
      <c r="A1878" s="1">
        <v>46070</v>
      </c>
      <c r="B1878">
        <v>3</v>
      </c>
      <c r="C1878" t="s">
        <v>542</v>
      </c>
      <c r="D1878" t="s">
        <v>99</v>
      </c>
      <c r="E1878" t="s">
        <v>332</v>
      </c>
      <c r="F1878" t="s">
        <v>52</v>
      </c>
      <c r="G1878" t="s">
        <v>77</v>
      </c>
      <c r="I1878" s="42">
        <v>1251.99</v>
      </c>
      <c r="J1878" s="42"/>
      <c r="K1878" s="42"/>
      <c r="L1878" s="42">
        <v>1251.99</v>
      </c>
      <c r="N1878" s="42"/>
    </row>
    <row r="1879" spans="1:14" x14ac:dyDescent="0.25">
      <c r="A1879" s="1">
        <v>46070</v>
      </c>
      <c r="B1879">
        <v>3</v>
      </c>
      <c r="C1879" t="s">
        <v>542</v>
      </c>
      <c r="D1879" t="s">
        <v>99</v>
      </c>
      <c r="E1879" t="s">
        <v>334</v>
      </c>
      <c r="F1879" t="s">
        <v>28</v>
      </c>
      <c r="G1879" t="s">
        <v>13</v>
      </c>
      <c r="I1879" s="42">
        <v>931.99</v>
      </c>
      <c r="J1879" s="42"/>
      <c r="K1879" s="42"/>
      <c r="L1879" s="42">
        <v>931.99</v>
      </c>
      <c r="N1879" s="42"/>
    </row>
    <row r="1880" spans="1:14" x14ac:dyDescent="0.25">
      <c r="A1880" s="1">
        <v>46070</v>
      </c>
      <c r="B1880">
        <v>3</v>
      </c>
      <c r="C1880" t="s">
        <v>542</v>
      </c>
      <c r="D1880" t="s">
        <v>336</v>
      </c>
      <c r="E1880" t="s">
        <v>337</v>
      </c>
      <c r="F1880" t="s">
        <v>41</v>
      </c>
      <c r="G1880" t="s">
        <v>13</v>
      </c>
      <c r="I1880" s="42">
        <v>746.99</v>
      </c>
      <c r="J1880" s="42"/>
      <c r="K1880" s="42"/>
      <c r="L1880" s="42">
        <v>746.99</v>
      </c>
      <c r="N1880" s="42"/>
    </row>
    <row r="1881" spans="1:14" x14ac:dyDescent="0.25">
      <c r="A1881" s="1">
        <v>46070</v>
      </c>
      <c r="B1881">
        <v>3</v>
      </c>
      <c r="C1881" t="s">
        <v>542</v>
      </c>
      <c r="D1881" t="s">
        <v>336</v>
      </c>
      <c r="E1881" t="s">
        <v>338</v>
      </c>
      <c r="F1881" t="s">
        <v>55</v>
      </c>
      <c r="G1881" t="s">
        <v>13</v>
      </c>
      <c r="I1881" s="42">
        <v>746.99</v>
      </c>
      <c r="J1881" s="42"/>
      <c r="K1881" s="42"/>
      <c r="L1881" s="42">
        <v>746.99</v>
      </c>
      <c r="N1881" s="42"/>
    </row>
    <row r="1882" spans="1:14" x14ac:dyDescent="0.25">
      <c r="A1882" s="1">
        <v>46070</v>
      </c>
      <c r="B1882">
        <v>3</v>
      </c>
      <c r="C1882" t="s">
        <v>542</v>
      </c>
      <c r="D1882" t="s">
        <v>336</v>
      </c>
      <c r="E1882" t="s">
        <v>339</v>
      </c>
      <c r="F1882" t="s">
        <v>55</v>
      </c>
      <c r="G1882" t="s">
        <v>340</v>
      </c>
      <c r="I1882" s="42">
        <v>746.99</v>
      </c>
      <c r="J1882" s="42"/>
      <c r="K1882" s="42"/>
      <c r="L1882" s="42">
        <v>746.99</v>
      </c>
      <c r="N1882" s="42"/>
    </row>
    <row r="1883" spans="1:14" x14ac:dyDescent="0.25">
      <c r="A1883" s="1">
        <v>46070</v>
      </c>
      <c r="B1883">
        <v>3</v>
      </c>
      <c r="C1883" t="s">
        <v>541</v>
      </c>
      <c r="D1883" t="s">
        <v>10</v>
      </c>
      <c r="E1883" t="s">
        <v>344</v>
      </c>
      <c r="F1883" t="s">
        <v>116</v>
      </c>
      <c r="G1883" t="s">
        <v>13</v>
      </c>
      <c r="I1883" s="42">
        <v>746.99</v>
      </c>
      <c r="J1883" s="42"/>
      <c r="K1883" s="42"/>
      <c r="L1883" s="42">
        <v>1241.99</v>
      </c>
      <c r="N1883" s="42">
        <v>746.99</v>
      </c>
    </row>
    <row r="1884" spans="1:14" x14ac:dyDescent="0.25">
      <c r="A1884" s="1">
        <v>46084</v>
      </c>
      <c r="B1884">
        <v>1</v>
      </c>
      <c r="C1884" t="s">
        <v>541</v>
      </c>
      <c r="D1884" t="s">
        <v>10</v>
      </c>
      <c r="E1884" t="s">
        <v>345</v>
      </c>
      <c r="F1884" t="s">
        <v>12</v>
      </c>
      <c r="G1884" t="s">
        <v>346</v>
      </c>
      <c r="I1884" s="42">
        <v>746.99</v>
      </c>
      <c r="J1884" s="42"/>
      <c r="K1884" s="42"/>
      <c r="L1884" s="42">
        <v>746.99</v>
      </c>
      <c r="N1884" s="42">
        <v>746.99</v>
      </c>
    </row>
    <row r="1885" spans="1:14" x14ac:dyDescent="0.25">
      <c r="A1885" s="1">
        <v>46084</v>
      </c>
      <c r="B1885">
        <v>1</v>
      </c>
      <c r="C1885" t="s">
        <v>542</v>
      </c>
      <c r="D1885" t="s">
        <v>99</v>
      </c>
      <c r="E1885" t="s">
        <v>350</v>
      </c>
      <c r="F1885" t="s">
        <v>12</v>
      </c>
      <c r="G1885" t="s">
        <v>349</v>
      </c>
      <c r="I1885" s="42">
        <v>801.99</v>
      </c>
      <c r="J1885" s="42"/>
      <c r="K1885" s="42"/>
      <c r="L1885" s="42">
        <v>801.99</v>
      </c>
      <c r="N1885" s="42"/>
    </row>
    <row r="1886" spans="1:14" x14ac:dyDescent="0.25">
      <c r="A1886" s="1">
        <v>46084</v>
      </c>
      <c r="B1886">
        <v>1</v>
      </c>
      <c r="C1886" t="s">
        <v>542</v>
      </c>
      <c r="D1886" t="s">
        <v>136</v>
      </c>
      <c r="E1886" t="s">
        <v>351</v>
      </c>
      <c r="F1886" t="s">
        <v>116</v>
      </c>
      <c r="G1886" t="s">
        <v>346</v>
      </c>
      <c r="I1886" s="42">
        <v>746.99</v>
      </c>
      <c r="J1886" s="42"/>
      <c r="K1886" s="42"/>
      <c r="L1886" s="42">
        <v>746.99</v>
      </c>
      <c r="N1886" s="42"/>
    </row>
    <row r="1887" spans="1:14" x14ac:dyDescent="0.25">
      <c r="A1887" s="1">
        <v>46084</v>
      </c>
      <c r="B1887">
        <v>1</v>
      </c>
      <c r="C1887" t="s">
        <v>541</v>
      </c>
      <c r="D1887" t="s">
        <v>10</v>
      </c>
      <c r="E1887" t="s">
        <v>352</v>
      </c>
      <c r="F1887" t="s">
        <v>158</v>
      </c>
      <c r="G1887" t="s">
        <v>353</v>
      </c>
      <c r="I1887" s="42">
        <v>746.99</v>
      </c>
      <c r="J1887" s="42"/>
      <c r="K1887" s="42"/>
      <c r="L1887" s="42">
        <v>746.99</v>
      </c>
      <c r="M1887" s="37">
        <v>550</v>
      </c>
      <c r="N1887" s="42">
        <v>746.99</v>
      </c>
    </row>
    <row r="1888" spans="1:14" x14ac:dyDescent="0.25">
      <c r="A1888" s="1">
        <v>46084</v>
      </c>
      <c r="B1888">
        <v>1</v>
      </c>
      <c r="C1888" t="s">
        <v>541</v>
      </c>
      <c r="D1888" t="s">
        <v>10</v>
      </c>
      <c r="E1888" t="s">
        <v>354</v>
      </c>
      <c r="F1888" t="s">
        <v>230</v>
      </c>
      <c r="G1888" t="s">
        <v>346</v>
      </c>
      <c r="I1888" s="42">
        <v>746.99</v>
      </c>
      <c r="J1888" s="42"/>
      <c r="K1888" s="42">
        <v>211.99</v>
      </c>
      <c r="L1888" s="42">
        <v>535</v>
      </c>
      <c r="N1888" s="42">
        <v>535</v>
      </c>
    </row>
    <row r="1889" spans="1:14" x14ac:dyDescent="0.25">
      <c r="A1889" s="1">
        <v>46084</v>
      </c>
      <c r="B1889">
        <v>1</v>
      </c>
      <c r="C1889" t="s">
        <v>541</v>
      </c>
      <c r="D1889" t="s">
        <v>10</v>
      </c>
      <c r="E1889" t="s">
        <v>355</v>
      </c>
      <c r="F1889" t="s">
        <v>158</v>
      </c>
      <c r="G1889" t="s">
        <v>346</v>
      </c>
      <c r="I1889" s="42">
        <v>746.99</v>
      </c>
      <c r="J1889" s="42"/>
      <c r="K1889" s="42">
        <v>1.99</v>
      </c>
      <c r="L1889" s="42">
        <v>745</v>
      </c>
      <c r="N1889" s="42">
        <v>745</v>
      </c>
    </row>
    <row r="1890" spans="1:14" x14ac:dyDescent="0.25">
      <c r="A1890" s="1">
        <v>46084</v>
      </c>
      <c r="B1890">
        <v>1</v>
      </c>
      <c r="C1890" t="s">
        <v>541</v>
      </c>
      <c r="D1890" t="s">
        <v>10</v>
      </c>
      <c r="E1890" t="s">
        <v>356</v>
      </c>
      <c r="F1890" t="s">
        <v>158</v>
      </c>
      <c r="G1890" t="s">
        <v>346</v>
      </c>
      <c r="I1890" s="42">
        <v>746.99</v>
      </c>
      <c r="J1890" s="42"/>
      <c r="K1890" s="42">
        <v>1.99</v>
      </c>
      <c r="L1890" s="42">
        <v>745</v>
      </c>
      <c r="N1890" s="42">
        <v>745</v>
      </c>
    </row>
    <row r="1891" spans="1:14" x14ac:dyDescent="0.25">
      <c r="A1891" s="1">
        <v>46084</v>
      </c>
      <c r="B1891">
        <v>1</v>
      </c>
      <c r="C1891" t="s">
        <v>541</v>
      </c>
      <c r="D1891" t="s">
        <v>10</v>
      </c>
      <c r="E1891" t="s">
        <v>374</v>
      </c>
      <c r="F1891" t="s">
        <v>158</v>
      </c>
      <c r="G1891" t="s">
        <v>346</v>
      </c>
      <c r="I1891" s="42">
        <v>746.99</v>
      </c>
      <c r="J1891" s="42">
        <v>30</v>
      </c>
      <c r="K1891" s="42"/>
      <c r="L1891" s="42">
        <v>776.99</v>
      </c>
      <c r="N1891" s="42">
        <v>776.99</v>
      </c>
    </row>
    <row r="1892" spans="1:14" x14ac:dyDescent="0.25">
      <c r="A1892" s="1">
        <v>46084</v>
      </c>
      <c r="B1892">
        <v>1</v>
      </c>
      <c r="C1892" t="s">
        <v>541</v>
      </c>
      <c r="D1892" t="s">
        <v>10</v>
      </c>
      <c r="E1892" t="s">
        <v>358</v>
      </c>
      <c r="F1892" t="s">
        <v>52</v>
      </c>
      <c r="G1892" t="s">
        <v>359</v>
      </c>
      <c r="I1892" s="42">
        <v>1251.99</v>
      </c>
      <c r="J1892" s="42">
        <v>28.01</v>
      </c>
      <c r="K1892" s="42"/>
      <c r="L1892" s="42">
        <v>1280</v>
      </c>
      <c r="M1892" s="37">
        <v>1193.58</v>
      </c>
      <c r="N1892" s="42">
        <v>1280</v>
      </c>
    </row>
    <row r="1893" spans="1:14" x14ac:dyDescent="0.25">
      <c r="A1893" s="1">
        <v>46084</v>
      </c>
      <c r="B1893">
        <v>1</v>
      </c>
      <c r="C1893" t="s">
        <v>541</v>
      </c>
      <c r="D1893" t="s">
        <v>10</v>
      </c>
      <c r="E1893" t="s">
        <v>360</v>
      </c>
      <c r="F1893" t="s">
        <v>211</v>
      </c>
      <c r="G1893" t="s">
        <v>346</v>
      </c>
      <c r="I1893" s="42">
        <v>746.99</v>
      </c>
      <c r="J1893" s="42"/>
      <c r="K1893" s="42">
        <v>1.49</v>
      </c>
      <c r="L1893" s="42">
        <v>745.5</v>
      </c>
      <c r="N1893" s="42">
        <v>745.5</v>
      </c>
    </row>
    <row r="1894" spans="1:14" x14ac:dyDescent="0.25">
      <c r="A1894" s="1">
        <v>46084</v>
      </c>
      <c r="B1894">
        <v>1</v>
      </c>
      <c r="C1894" t="s">
        <v>541</v>
      </c>
      <c r="D1894" t="s">
        <v>10</v>
      </c>
      <c r="E1894" t="s">
        <v>361</v>
      </c>
      <c r="F1894" t="s">
        <v>52</v>
      </c>
      <c r="G1894" t="s">
        <v>346</v>
      </c>
      <c r="I1894" s="42">
        <v>1251.99</v>
      </c>
      <c r="J1894" s="42">
        <v>60</v>
      </c>
      <c r="K1894" s="42"/>
      <c r="L1894" s="42">
        <v>1311.99</v>
      </c>
      <c r="N1894" s="42">
        <v>1311.99</v>
      </c>
    </row>
    <row r="1895" spans="1:14" x14ac:dyDescent="0.25">
      <c r="A1895" s="1">
        <v>46084</v>
      </c>
      <c r="B1895">
        <v>1</v>
      </c>
      <c r="C1895" t="s">
        <v>541</v>
      </c>
      <c r="D1895" t="s">
        <v>10</v>
      </c>
      <c r="E1895" t="s">
        <v>364</v>
      </c>
      <c r="F1895" t="s">
        <v>365</v>
      </c>
      <c r="G1895" t="s">
        <v>346</v>
      </c>
      <c r="I1895" s="42">
        <v>801.99</v>
      </c>
      <c r="J1895" s="42">
        <v>28.01</v>
      </c>
      <c r="K1895" s="42"/>
      <c r="L1895" s="42">
        <v>830</v>
      </c>
      <c r="N1895" s="42">
        <v>830</v>
      </c>
    </row>
    <row r="1896" spans="1:14" x14ac:dyDescent="0.25">
      <c r="A1896" s="1">
        <v>46084</v>
      </c>
      <c r="B1896">
        <v>1</v>
      </c>
      <c r="C1896" t="s">
        <v>541</v>
      </c>
      <c r="D1896" t="s">
        <v>10</v>
      </c>
      <c r="E1896" t="s">
        <v>366</v>
      </c>
      <c r="F1896" t="s">
        <v>52</v>
      </c>
      <c r="G1896" t="s">
        <v>346</v>
      </c>
      <c r="I1896" s="42">
        <v>1251.99</v>
      </c>
      <c r="J1896" s="42">
        <v>30</v>
      </c>
      <c r="K1896" s="42"/>
      <c r="L1896" s="42">
        <v>1281.99</v>
      </c>
      <c r="N1896" s="42">
        <v>1281.99</v>
      </c>
    </row>
    <row r="1897" spans="1:14" x14ac:dyDescent="0.25">
      <c r="A1897" s="1">
        <v>46084</v>
      </c>
      <c r="B1897">
        <v>1</v>
      </c>
      <c r="C1897" t="s">
        <v>541</v>
      </c>
      <c r="D1897" t="s">
        <v>10</v>
      </c>
      <c r="E1897" t="s">
        <v>375</v>
      </c>
      <c r="F1897" t="s">
        <v>52</v>
      </c>
      <c r="G1897" t="s">
        <v>346</v>
      </c>
      <c r="I1897" s="42">
        <v>1251.99</v>
      </c>
      <c r="J1897" s="42"/>
      <c r="K1897" s="42"/>
      <c r="L1897" s="42">
        <v>1251.99</v>
      </c>
      <c r="N1897" s="42"/>
    </row>
    <row r="1898" spans="1:14" x14ac:dyDescent="0.25">
      <c r="A1898" s="1">
        <v>46084</v>
      </c>
      <c r="B1898">
        <v>1</v>
      </c>
      <c r="C1898" t="s">
        <v>541</v>
      </c>
      <c r="D1898" t="s">
        <v>10</v>
      </c>
      <c r="E1898" t="s">
        <v>376</v>
      </c>
      <c r="F1898" t="s">
        <v>52</v>
      </c>
      <c r="G1898" t="s">
        <v>346</v>
      </c>
      <c r="I1898" s="42">
        <v>1251.99</v>
      </c>
      <c r="J1898" s="42">
        <v>30</v>
      </c>
      <c r="K1898" s="42"/>
      <c r="L1898" s="42">
        <v>1281.99</v>
      </c>
      <c r="N1898" s="42">
        <v>1281.99</v>
      </c>
    </row>
    <row r="1899" spans="1:14" x14ac:dyDescent="0.25">
      <c r="A1899" s="1">
        <v>46084</v>
      </c>
      <c r="B1899">
        <v>1</v>
      </c>
      <c r="C1899" t="s">
        <v>541</v>
      </c>
      <c r="D1899" t="s">
        <v>10</v>
      </c>
      <c r="E1899" t="s">
        <v>372</v>
      </c>
      <c r="F1899" t="s">
        <v>55</v>
      </c>
      <c r="G1899" t="s">
        <v>373</v>
      </c>
      <c r="I1899" s="42">
        <v>746.99</v>
      </c>
      <c r="J1899" s="42"/>
      <c r="K1899" s="42"/>
      <c r="L1899" s="42">
        <v>746.99</v>
      </c>
      <c r="N1899" s="42">
        <v>746.99</v>
      </c>
    </row>
    <row r="1900" spans="1:14" x14ac:dyDescent="0.25">
      <c r="A1900" s="1">
        <v>46084</v>
      </c>
      <c r="B1900">
        <v>1</v>
      </c>
      <c r="C1900" t="s">
        <v>541</v>
      </c>
      <c r="D1900" t="s">
        <v>10</v>
      </c>
      <c r="E1900" t="s">
        <v>410</v>
      </c>
      <c r="F1900" t="s">
        <v>411</v>
      </c>
      <c r="G1900" t="s">
        <v>346</v>
      </c>
      <c r="I1900" s="42">
        <v>1251.99</v>
      </c>
      <c r="J1900" s="42">
        <v>30.01</v>
      </c>
      <c r="K1900" s="42"/>
      <c r="L1900" s="42">
        <v>1282</v>
      </c>
      <c r="N1900" s="42">
        <v>1282</v>
      </c>
    </row>
    <row r="1901" spans="1:14" x14ac:dyDescent="0.25">
      <c r="A1901" s="1">
        <v>46084</v>
      </c>
      <c r="B1901">
        <v>1</v>
      </c>
      <c r="C1901" t="s">
        <v>541</v>
      </c>
      <c r="D1901" t="s">
        <v>10</v>
      </c>
      <c r="E1901" t="s">
        <v>505</v>
      </c>
      <c r="F1901" t="s">
        <v>158</v>
      </c>
      <c r="G1901" t="s">
        <v>346</v>
      </c>
      <c r="I1901" s="42">
        <v>746.99</v>
      </c>
      <c r="J1901" s="42"/>
      <c r="K1901" s="42">
        <v>106.43</v>
      </c>
      <c r="L1901" s="42">
        <v>640.55999999999995</v>
      </c>
      <c r="N1901" s="42">
        <v>640.55999999999995</v>
      </c>
    </row>
    <row r="1902" spans="1:14" x14ac:dyDescent="0.25">
      <c r="A1902" s="1">
        <v>46084</v>
      </c>
      <c r="B1902">
        <v>1</v>
      </c>
      <c r="C1902" t="s">
        <v>541</v>
      </c>
      <c r="D1902" t="s">
        <v>10</v>
      </c>
      <c r="E1902" t="s">
        <v>704</v>
      </c>
      <c r="F1902" t="s">
        <v>69</v>
      </c>
      <c r="G1902" t="s">
        <v>705</v>
      </c>
      <c r="I1902" s="42">
        <v>746.99</v>
      </c>
      <c r="J1902" s="42">
        <v>31.01</v>
      </c>
      <c r="K1902" s="42"/>
      <c r="L1902" s="42">
        <v>778</v>
      </c>
      <c r="N1902" s="42">
        <v>778</v>
      </c>
    </row>
    <row r="1903" spans="1:14" x14ac:dyDescent="0.25">
      <c r="A1903" s="1">
        <v>46084</v>
      </c>
      <c r="B1903">
        <v>1</v>
      </c>
      <c r="C1903" t="s">
        <v>541</v>
      </c>
      <c r="D1903" t="s">
        <v>10</v>
      </c>
      <c r="E1903" t="s">
        <v>708</v>
      </c>
      <c r="F1903" t="s">
        <v>709</v>
      </c>
      <c r="G1903" t="s">
        <v>370</v>
      </c>
      <c r="I1903" s="42">
        <v>981.99</v>
      </c>
      <c r="J1903" s="42"/>
      <c r="K1903" s="42">
        <v>281.99</v>
      </c>
      <c r="L1903" s="42">
        <v>700</v>
      </c>
      <c r="N1903" s="42">
        <v>700</v>
      </c>
    </row>
    <row r="1904" spans="1:14" x14ac:dyDescent="0.25">
      <c r="A1904" s="1">
        <v>46084</v>
      </c>
      <c r="B1904">
        <v>1</v>
      </c>
      <c r="C1904" t="s">
        <v>541</v>
      </c>
      <c r="D1904" t="s">
        <v>10</v>
      </c>
      <c r="E1904" t="s">
        <v>468</v>
      </c>
      <c r="F1904" t="s">
        <v>469</v>
      </c>
      <c r="G1904" t="s">
        <v>346</v>
      </c>
      <c r="I1904" s="42">
        <v>1001.99</v>
      </c>
      <c r="J1904" s="42"/>
      <c r="K1904" s="42">
        <v>1.99</v>
      </c>
      <c r="L1904" s="42">
        <v>1000</v>
      </c>
      <c r="N1904" s="42">
        <v>1000</v>
      </c>
    </row>
    <row r="1905" spans="1:14" x14ac:dyDescent="0.25">
      <c r="A1905" s="1">
        <v>46084</v>
      </c>
      <c r="B1905">
        <v>1</v>
      </c>
      <c r="C1905" t="s">
        <v>541</v>
      </c>
      <c r="D1905" t="s">
        <v>10</v>
      </c>
      <c r="E1905" t="s">
        <v>466</v>
      </c>
      <c r="F1905" t="s">
        <v>33</v>
      </c>
      <c r="G1905" t="s">
        <v>467</v>
      </c>
      <c r="I1905" s="42">
        <v>851.99</v>
      </c>
      <c r="J1905" s="42"/>
      <c r="K1905" s="42">
        <v>1.99</v>
      </c>
      <c r="L1905" s="42">
        <v>850</v>
      </c>
      <c r="N1905" s="42">
        <v>850</v>
      </c>
    </row>
    <row r="1906" spans="1:14" x14ac:dyDescent="0.25">
      <c r="A1906" s="1">
        <v>46084</v>
      </c>
      <c r="B1906">
        <v>1</v>
      </c>
      <c r="C1906" t="s">
        <v>541</v>
      </c>
      <c r="D1906" t="s">
        <v>10</v>
      </c>
      <c r="E1906" t="s">
        <v>436</v>
      </c>
      <c r="F1906" t="s">
        <v>116</v>
      </c>
      <c r="G1906" t="s">
        <v>346</v>
      </c>
      <c r="I1906" s="42">
        <v>746.99</v>
      </c>
      <c r="J1906" s="42"/>
      <c r="K1906" s="42">
        <v>106.43</v>
      </c>
      <c r="L1906" s="42">
        <v>640.55999999999995</v>
      </c>
      <c r="N1906" s="42">
        <v>640.55999999999995</v>
      </c>
    </row>
    <row r="1907" spans="1:14" x14ac:dyDescent="0.25">
      <c r="A1907" s="1">
        <v>46084</v>
      </c>
      <c r="B1907">
        <v>1</v>
      </c>
      <c r="C1907" t="s">
        <v>541</v>
      </c>
      <c r="D1907" t="s">
        <v>10</v>
      </c>
      <c r="E1907" t="s">
        <v>408</v>
      </c>
      <c r="F1907" t="s">
        <v>52</v>
      </c>
      <c r="G1907" t="s">
        <v>409</v>
      </c>
      <c r="I1907" s="42">
        <v>1251.99</v>
      </c>
      <c r="J1907" s="42">
        <v>0.01</v>
      </c>
      <c r="K1907" s="42"/>
      <c r="L1907" s="42">
        <v>1252</v>
      </c>
      <c r="N1907" s="42">
        <v>1252</v>
      </c>
    </row>
    <row r="1908" spans="1:14" x14ac:dyDescent="0.25">
      <c r="A1908" s="1">
        <v>46084</v>
      </c>
      <c r="B1908">
        <v>1</v>
      </c>
      <c r="C1908" t="s">
        <v>541</v>
      </c>
      <c r="D1908" t="s">
        <v>10</v>
      </c>
      <c r="E1908" t="s">
        <v>494</v>
      </c>
      <c r="F1908" t="s">
        <v>69</v>
      </c>
      <c r="G1908" t="s">
        <v>349</v>
      </c>
      <c r="I1908" s="42">
        <v>801.99</v>
      </c>
      <c r="J1908" s="42"/>
      <c r="K1908" s="42"/>
      <c r="L1908" s="42">
        <v>801.99</v>
      </c>
      <c r="N1908" s="42">
        <v>801.99</v>
      </c>
    </row>
    <row r="1909" spans="1:14" x14ac:dyDescent="0.25">
      <c r="A1909" s="1">
        <v>46084</v>
      </c>
      <c r="B1909">
        <v>1</v>
      </c>
      <c r="C1909" t="s">
        <v>541</v>
      </c>
      <c r="D1909" t="s">
        <v>10</v>
      </c>
      <c r="E1909" t="s">
        <v>531</v>
      </c>
      <c r="F1909" t="s">
        <v>69</v>
      </c>
      <c r="G1909" t="s">
        <v>346</v>
      </c>
      <c r="I1909" s="42">
        <v>746.99</v>
      </c>
      <c r="J1909" s="42"/>
      <c r="K1909" s="42">
        <v>106.39</v>
      </c>
      <c r="L1909" s="42">
        <v>640.6</v>
      </c>
      <c r="N1909" s="42">
        <v>640.6</v>
      </c>
    </row>
    <row r="1910" spans="1:14" x14ac:dyDescent="0.25">
      <c r="A1910" s="1">
        <v>46084</v>
      </c>
      <c r="B1910">
        <v>1</v>
      </c>
      <c r="C1910" t="s">
        <v>541</v>
      </c>
      <c r="D1910" t="s">
        <v>10</v>
      </c>
      <c r="E1910" t="s">
        <v>379</v>
      </c>
      <c r="F1910" t="s">
        <v>41</v>
      </c>
      <c r="G1910" t="s">
        <v>380</v>
      </c>
      <c r="I1910" s="42">
        <v>746.99</v>
      </c>
      <c r="J1910" s="42">
        <v>60.01</v>
      </c>
      <c r="K1910" s="42"/>
      <c r="L1910" s="42">
        <v>807</v>
      </c>
      <c r="N1910" s="42">
        <v>807</v>
      </c>
    </row>
    <row r="1911" spans="1:14" x14ac:dyDescent="0.25">
      <c r="A1911" s="1">
        <v>46084</v>
      </c>
      <c r="B1911">
        <v>1</v>
      </c>
      <c r="C1911" t="s">
        <v>541</v>
      </c>
      <c r="D1911" t="s">
        <v>10</v>
      </c>
      <c r="E1911" t="s">
        <v>381</v>
      </c>
      <c r="F1911" t="s">
        <v>41</v>
      </c>
      <c r="G1911" t="s">
        <v>380</v>
      </c>
      <c r="I1911" s="42">
        <v>746.99</v>
      </c>
      <c r="J1911" s="42">
        <v>0.01</v>
      </c>
      <c r="K1911" s="42"/>
      <c r="L1911" s="42">
        <v>747</v>
      </c>
      <c r="N1911" s="42">
        <v>747</v>
      </c>
    </row>
    <row r="1912" spans="1:14" x14ac:dyDescent="0.25">
      <c r="A1912" s="1">
        <v>46084</v>
      </c>
      <c r="B1912">
        <v>1</v>
      </c>
      <c r="C1912" t="s">
        <v>541</v>
      </c>
      <c r="D1912" t="s">
        <v>10</v>
      </c>
      <c r="E1912" t="s">
        <v>386</v>
      </c>
      <c r="F1912" t="s">
        <v>387</v>
      </c>
      <c r="G1912" t="s">
        <v>349</v>
      </c>
      <c r="I1912" s="42">
        <v>801.99</v>
      </c>
      <c r="J1912" s="42">
        <v>30</v>
      </c>
      <c r="K1912" s="42"/>
      <c r="L1912" s="42">
        <v>831.99</v>
      </c>
      <c r="N1912" s="42">
        <v>831.99</v>
      </c>
    </row>
    <row r="1913" spans="1:14" x14ac:dyDescent="0.25">
      <c r="A1913" s="1">
        <v>46084</v>
      </c>
      <c r="B1913">
        <v>1</v>
      </c>
      <c r="C1913" t="s">
        <v>541</v>
      </c>
      <c r="D1913" t="s">
        <v>10</v>
      </c>
      <c r="E1913" t="s">
        <v>388</v>
      </c>
      <c r="F1913" t="s">
        <v>41</v>
      </c>
      <c r="G1913" t="s">
        <v>346</v>
      </c>
      <c r="I1913" s="42">
        <v>746.99</v>
      </c>
      <c r="J1913" s="42">
        <v>30.01</v>
      </c>
      <c r="K1913" s="42"/>
      <c r="L1913" s="42">
        <v>777</v>
      </c>
      <c r="N1913" s="42">
        <v>777</v>
      </c>
    </row>
    <row r="1914" spans="1:14" x14ac:dyDescent="0.25">
      <c r="A1914" s="1">
        <v>46084</v>
      </c>
      <c r="B1914">
        <v>1</v>
      </c>
      <c r="C1914" t="s">
        <v>541</v>
      </c>
      <c r="D1914" t="s">
        <v>10</v>
      </c>
      <c r="E1914" t="s">
        <v>389</v>
      </c>
      <c r="F1914" t="s">
        <v>12</v>
      </c>
      <c r="G1914" t="s">
        <v>346</v>
      </c>
      <c r="I1914" s="42">
        <v>746.99</v>
      </c>
      <c r="J1914" s="42"/>
      <c r="K1914" s="42"/>
      <c r="L1914" s="42">
        <v>746.99</v>
      </c>
      <c r="N1914" s="42">
        <v>746.99</v>
      </c>
    </row>
    <row r="1915" spans="1:14" x14ac:dyDescent="0.25">
      <c r="A1915" s="1">
        <v>46084</v>
      </c>
      <c r="B1915">
        <v>1</v>
      </c>
      <c r="C1915" t="s">
        <v>541</v>
      </c>
      <c r="D1915" t="s">
        <v>10</v>
      </c>
      <c r="E1915" t="s">
        <v>524</v>
      </c>
      <c r="F1915" t="s">
        <v>41</v>
      </c>
      <c r="G1915" t="s">
        <v>420</v>
      </c>
      <c r="I1915" s="42">
        <v>746.99</v>
      </c>
      <c r="J1915" s="42"/>
      <c r="K1915" s="42">
        <v>1.99</v>
      </c>
      <c r="L1915" s="42">
        <v>745</v>
      </c>
      <c r="N1915" s="42">
        <v>745</v>
      </c>
    </row>
    <row r="1916" spans="1:14" x14ac:dyDescent="0.25">
      <c r="A1916" s="1">
        <v>46084</v>
      </c>
      <c r="B1916">
        <v>1</v>
      </c>
      <c r="C1916" t="s">
        <v>541</v>
      </c>
      <c r="D1916" t="s">
        <v>10</v>
      </c>
      <c r="E1916" t="s">
        <v>391</v>
      </c>
      <c r="F1916" t="s">
        <v>116</v>
      </c>
      <c r="G1916" t="s">
        <v>346</v>
      </c>
      <c r="I1916" s="42">
        <v>746.99</v>
      </c>
      <c r="J1916" s="42"/>
      <c r="K1916" s="42">
        <v>1.99</v>
      </c>
      <c r="L1916" s="42">
        <v>745</v>
      </c>
      <c r="N1916" s="42">
        <v>745</v>
      </c>
    </row>
    <row r="1917" spans="1:14" x14ac:dyDescent="0.25">
      <c r="A1917" s="1">
        <v>46084</v>
      </c>
      <c r="B1917">
        <v>1</v>
      </c>
      <c r="C1917" t="s">
        <v>542</v>
      </c>
      <c r="D1917" t="s">
        <v>706</v>
      </c>
      <c r="E1917" t="s">
        <v>392</v>
      </c>
      <c r="F1917" t="s">
        <v>393</v>
      </c>
      <c r="G1917" t="s">
        <v>349</v>
      </c>
      <c r="I1917" s="42">
        <v>896.99</v>
      </c>
      <c r="J1917" s="42"/>
      <c r="K1917" s="42"/>
      <c r="L1917" s="42">
        <v>896.99</v>
      </c>
      <c r="N1917" s="42"/>
    </row>
    <row r="1918" spans="1:14" x14ac:dyDescent="0.25">
      <c r="A1918" s="1">
        <v>46084</v>
      </c>
      <c r="B1918">
        <v>1</v>
      </c>
      <c r="C1918" t="s">
        <v>541</v>
      </c>
      <c r="D1918" t="s">
        <v>10</v>
      </c>
      <c r="E1918" t="s">
        <v>396</v>
      </c>
      <c r="F1918" t="s">
        <v>55</v>
      </c>
      <c r="G1918" t="s">
        <v>346</v>
      </c>
      <c r="I1918" s="42">
        <v>746.99</v>
      </c>
      <c r="J1918" s="42">
        <v>30</v>
      </c>
      <c r="K1918" s="42"/>
      <c r="L1918" s="42">
        <v>776.99</v>
      </c>
      <c r="N1918" s="42">
        <v>776.99</v>
      </c>
    </row>
    <row r="1919" spans="1:14" x14ac:dyDescent="0.25">
      <c r="A1919" s="1">
        <v>46084</v>
      </c>
      <c r="B1919">
        <v>1</v>
      </c>
      <c r="C1919" t="s">
        <v>541</v>
      </c>
      <c r="D1919" t="s">
        <v>10</v>
      </c>
      <c r="E1919" t="s">
        <v>397</v>
      </c>
      <c r="F1919" t="s">
        <v>41</v>
      </c>
      <c r="G1919" t="s">
        <v>398</v>
      </c>
      <c r="I1919" s="42">
        <v>746.99</v>
      </c>
      <c r="J1919" s="42">
        <v>30</v>
      </c>
      <c r="K1919" s="42"/>
      <c r="L1919" s="42">
        <v>776.99</v>
      </c>
      <c r="M1919" s="37">
        <v>177.45</v>
      </c>
      <c r="N1919" s="42">
        <v>776.99</v>
      </c>
    </row>
    <row r="1920" spans="1:14" x14ac:dyDescent="0.25">
      <c r="A1920" s="1">
        <v>46084</v>
      </c>
      <c r="B1920">
        <v>1</v>
      </c>
      <c r="C1920" t="s">
        <v>541</v>
      </c>
      <c r="D1920" t="s">
        <v>10</v>
      </c>
      <c r="E1920" t="s">
        <v>400</v>
      </c>
      <c r="F1920" t="s">
        <v>158</v>
      </c>
      <c r="G1920" t="s">
        <v>346</v>
      </c>
      <c r="I1920" s="42">
        <v>746.99</v>
      </c>
      <c r="J1920" s="42"/>
      <c r="K1920" s="42"/>
      <c r="L1920" s="42">
        <v>746.99</v>
      </c>
      <c r="N1920" s="42">
        <v>746.99</v>
      </c>
    </row>
    <row r="1921" spans="1:14" x14ac:dyDescent="0.25">
      <c r="A1921" s="1">
        <v>46084</v>
      </c>
      <c r="B1921">
        <v>1</v>
      </c>
      <c r="C1921" t="s">
        <v>541</v>
      </c>
      <c r="D1921" t="s">
        <v>10</v>
      </c>
      <c r="E1921" t="s">
        <v>401</v>
      </c>
      <c r="F1921" t="s">
        <v>55</v>
      </c>
      <c r="G1921" t="s">
        <v>346</v>
      </c>
      <c r="I1921" s="42">
        <v>746.99</v>
      </c>
      <c r="J1921" s="42"/>
      <c r="K1921" s="42"/>
      <c r="L1921" s="42">
        <v>746.99</v>
      </c>
      <c r="N1921" s="42">
        <v>746.99</v>
      </c>
    </row>
    <row r="1922" spans="1:14" x14ac:dyDescent="0.25">
      <c r="A1922" s="1">
        <v>46084</v>
      </c>
      <c r="B1922">
        <v>1</v>
      </c>
      <c r="C1922" t="s">
        <v>541</v>
      </c>
      <c r="D1922" t="s">
        <v>10</v>
      </c>
      <c r="E1922" t="s">
        <v>402</v>
      </c>
      <c r="F1922" t="s">
        <v>403</v>
      </c>
      <c r="G1922" t="s">
        <v>346</v>
      </c>
      <c r="I1922" s="42">
        <v>1001.99</v>
      </c>
      <c r="J1922" s="42"/>
      <c r="K1922" s="42">
        <v>1.99</v>
      </c>
      <c r="L1922" s="42">
        <v>1000</v>
      </c>
      <c r="N1922" s="42">
        <v>1000</v>
      </c>
    </row>
    <row r="1923" spans="1:14" x14ac:dyDescent="0.25">
      <c r="A1923" s="1">
        <v>46084</v>
      </c>
      <c r="B1923">
        <v>1</v>
      </c>
      <c r="C1923" t="s">
        <v>541</v>
      </c>
      <c r="D1923" t="s">
        <v>10</v>
      </c>
      <c r="E1923" t="s">
        <v>404</v>
      </c>
      <c r="F1923" t="s">
        <v>55</v>
      </c>
      <c r="G1923" t="s">
        <v>346</v>
      </c>
      <c r="I1923" s="42">
        <v>746.99</v>
      </c>
      <c r="J1923" s="42">
        <v>0.01</v>
      </c>
      <c r="K1923" s="42"/>
      <c r="L1923" s="42">
        <v>747</v>
      </c>
      <c r="N1923" s="42">
        <v>747</v>
      </c>
    </row>
    <row r="1924" spans="1:14" x14ac:dyDescent="0.25">
      <c r="A1924" s="1">
        <v>46084</v>
      </c>
      <c r="B1924">
        <v>1</v>
      </c>
      <c r="C1924" t="s">
        <v>541</v>
      </c>
      <c r="D1924" t="s">
        <v>10</v>
      </c>
      <c r="E1924" t="s">
        <v>406</v>
      </c>
      <c r="F1924" t="s">
        <v>407</v>
      </c>
      <c r="G1924" t="s">
        <v>346</v>
      </c>
      <c r="I1924" s="42">
        <v>801.99</v>
      </c>
      <c r="J1924" s="42"/>
      <c r="K1924" s="42"/>
      <c r="L1924" s="42">
        <v>801.99</v>
      </c>
      <c r="N1924" s="42">
        <v>801.99</v>
      </c>
    </row>
    <row r="1925" spans="1:14" x14ac:dyDescent="0.25">
      <c r="A1925" s="1">
        <v>46084</v>
      </c>
      <c r="B1925">
        <v>1</v>
      </c>
      <c r="C1925" t="s">
        <v>541</v>
      </c>
      <c r="D1925" t="s">
        <v>10</v>
      </c>
      <c r="E1925" t="s">
        <v>510</v>
      </c>
      <c r="F1925" t="s">
        <v>55</v>
      </c>
      <c r="G1925" t="s">
        <v>346</v>
      </c>
      <c r="I1925" s="42">
        <v>746.99</v>
      </c>
      <c r="J1925" s="42"/>
      <c r="K1925" s="42"/>
      <c r="L1925" s="42">
        <v>746.99</v>
      </c>
      <c r="N1925" s="42">
        <v>746.99</v>
      </c>
    </row>
    <row r="1926" spans="1:14" x14ac:dyDescent="0.25">
      <c r="A1926" s="1">
        <v>46084</v>
      </c>
      <c r="B1926">
        <v>1</v>
      </c>
      <c r="C1926" t="s">
        <v>541</v>
      </c>
      <c r="D1926" t="s">
        <v>10</v>
      </c>
      <c r="E1926" t="s">
        <v>445</v>
      </c>
      <c r="F1926" t="s">
        <v>52</v>
      </c>
      <c r="G1926" t="s">
        <v>346</v>
      </c>
      <c r="I1926" s="42">
        <v>1251.99</v>
      </c>
      <c r="J1926" s="42">
        <v>30</v>
      </c>
      <c r="K1926" s="42"/>
      <c r="L1926" s="42">
        <v>1281.99</v>
      </c>
      <c r="N1926" s="42">
        <v>1281.99</v>
      </c>
    </row>
    <row r="1927" spans="1:14" x14ac:dyDescent="0.25">
      <c r="A1927" s="1">
        <v>46084</v>
      </c>
      <c r="B1927">
        <v>1</v>
      </c>
      <c r="C1927" t="s">
        <v>541</v>
      </c>
      <c r="D1927" t="s">
        <v>10</v>
      </c>
      <c r="E1927" t="s">
        <v>503</v>
      </c>
      <c r="F1927" t="s">
        <v>69</v>
      </c>
      <c r="G1927" t="s">
        <v>349</v>
      </c>
      <c r="I1927" s="42">
        <v>801.99</v>
      </c>
      <c r="J1927" s="42">
        <v>90.01</v>
      </c>
      <c r="K1927" s="42"/>
      <c r="L1927" s="42">
        <v>892</v>
      </c>
      <c r="N1927" s="42">
        <v>832</v>
      </c>
    </row>
    <row r="1928" spans="1:14" x14ac:dyDescent="0.25">
      <c r="A1928" s="1">
        <v>46084</v>
      </c>
      <c r="B1928">
        <v>1</v>
      </c>
      <c r="C1928" t="s">
        <v>541</v>
      </c>
      <c r="D1928" t="s">
        <v>10</v>
      </c>
      <c r="E1928" t="s">
        <v>413</v>
      </c>
      <c r="F1928" t="s">
        <v>211</v>
      </c>
      <c r="G1928" t="s">
        <v>414</v>
      </c>
      <c r="I1928" s="42">
        <v>746.99</v>
      </c>
      <c r="J1928" s="42">
        <v>30</v>
      </c>
      <c r="K1928" s="42"/>
      <c r="L1928" s="42">
        <v>776.99</v>
      </c>
      <c r="N1928" s="42">
        <v>776.99</v>
      </c>
    </row>
    <row r="1929" spans="1:14" x14ac:dyDescent="0.25">
      <c r="A1929" s="1">
        <v>46084</v>
      </c>
      <c r="B1929">
        <v>1</v>
      </c>
      <c r="C1929" t="s">
        <v>541</v>
      </c>
      <c r="D1929" t="s">
        <v>10</v>
      </c>
      <c r="E1929" t="s">
        <v>415</v>
      </c>
      <c r="F1929" t="s">
        <v>416</v>
      </c>
      <c r="G1929" t="s">
        <v>370</v>
      </c>
      <c r="I1929" s="42">
        <v>931.99</v>
      </c>
      <c r="J1929" s="42">
        <v>0.01</v>
      </c>
      <c r="K1929" s="42"/>
      <c r="L1929" s="42">
        <v>932</v>
      </c>
      <c r="N1929" s="42">
        <v>932</v>
      </c>
    </row>
    <row r="1930" spans="1:14" x14ac:dyDescent="0.25">
      <c r="A1930" s="1">
        <v>46084</v>
      </c>
      <c r="B1930">
        <v>1</v>
      </c>
      <c r="C1930" t="s">
        <v>541</v>
      </c>
      <c r="D1930" t="s">
        <v>10</v>
      </c>
      <c r="E1930" t="s">
        <v>384</v>
      </c>
      <c r="F1930" t="s">
        <v>385</v>
      </c>
      <c r="G1930" t="s">
        <v>349</v>
      </c>
      <c r="I1930" s="42">
        <v>801.99</v>
      </c>
      <c r="J1930" s="42">
        <v>0.01</v>
      </c>
      <c r="K1930" s="42"/>
      <c r="L1930" s="42">
        <v>802</v>
      </c>
      <c r="N1930" s="42">
        <v>802</v>
      </c>
    </row>
    <row r="1931" spans="1:14" x14ac:dyDescent="0.25">
      <c r="A1931" s="1">
        <v>46084</v>
      </c>
      <c r="B1931">
        <v>1</v>
      </c>
      <c r="C1931" t="s">
        <v>541</v>
      </c>
      <c r="D1931" t="s">
        <v>10</v>
      </c>
      <c r="E1931" t="s">
        <v>459</v>
      </c>
      <c r="F1931" t="s">
        <v>426</v>
      </c>
      <c r="G1931" t="s">
        <v>363</v>
      </c>
      <c r="I1931" s="42">
        <v>746.99</v>
      </c>
      <c r="J1931" s="42">
        <v>0.01</v>
      </c>
      <c r="K1931" s="42"/>
      <c r="L1931" s="42">
        <v>747</v>
      </c>
      <c r="N1931" s="42">
        <v>747</v>
      </c>
    </row>
    <row r="1932" spans="1:14" x14ac:dyDescent="0.25">
      <c r="A1932" s="1">
        <v>46084</v>
      </c>
      <c r="B1932">
        <v>1</v>
      </c>
      <c r="C1932" t="s">
        <v>541</v>
      </c>
      <c r="D1932" t="s">
        <v>10</v>
      </c>
      <c r="E1932" t="s">
        <v>395</v>
      </c>
      <c r="F1932" t="s">
        <v>158</v>
      </c>
      <c r="G1932" t="s">
        <v>346</v>
      </c>
      <c r="I1932" s="42">
        <v>746.99</v>
      </c>
      <c r="J1932" s="42"/>
      <c r="K1932" s="42"/>
      <c r="L1932" s="42">
        <v>746.99</v>
      </c>
      <c r="N1932" s="42">
        <v>746.99</v>
      </c>
    </row>
    <row r="1933" spans="1:14" x14ac:dyDescent="0.25">
      <c r="A1933" s="1">
        <v>46084</v>
      </c>
      <c r="B1933">
        <v>1</v>
      </c>
      <c r="C1933" t="s">
        <v>541</v>
      </c>
      <c r="D1933" t="s">
        <v>10</v>
      </c>
      <c r="E1933" t="s">
        <v>529</v>
      </c>
      <c r="F1933" t="s">
        <v>55</v>
      </c>
      <c r="G1933" t="s">
        <v>346</v>
      </c>
      <c r="I1933" s="42">
        <v>746.99</v>
      </c>
      <c r="J1933" s="42"/>
      <c r="K1933" s="42"/>
      <c r="L1933" s="42">
        <v>746.99</v>
      </c>
      <c r="N1933" s="42">
        <v>746.99</v>
      </c>
    </row>
    <row r="1934" spans="1:14" x14ac:dyDescent="0.25">
      <c r="A1934" s="1">
        <v>46084</v>
      </c>
      <c r="B1934">
        <v>1</v>
      </c>
      <c r="C1934" t="s">
        <v>541</v>
      </c>
      <c r="D1934" t="s">
        <v>10</v>
      </c>
      <c r="E1934" t="s">
        <v>405</v>
      </c>
      <c r="F1934" t="s">
        <v>52</v>
      </c>
      <c r="G1934" t="s">
        <v>346</v>
      </c>
      <c r="I1934" s="42">
        <v>1251.99</v>
      </c>
      <c r="J1934" s="42">
        <v>3</v>
      </c>
      <c r="K1934" s="42"/>
      <c r="L1934" s="42">
        <v>1254.99</v>
      </c>
      <c r="N1934" s="42">
        <v>1254.99</v>
      </c>
    </row>
    <row r="1935" spans="1:14" x14ac:dyDescent="0.25">
      <c r="A1935" s="1">
        <v>46084</v>
      </c>
      <c r="B1935">
        <v>1</v>
      </c>
      <c r="C1935" t="s">
        <v>541</v>
      </c>
      <c r="D1935" t="s">
        <v>10</v>
      </c>
      <c r="E1935" t="s">
        <v>482</v>
      </c>
      <c r="F1935" t="s">
        <v>158</v>
      </c>
      <c r="G1935" t="s">
        <v>346</v>
      </c>
      <c r="I1935" s="42">
        <v>746.99</v>
      </c>
      <c r="J1935" s="42"/>
      <c r="K1935" s="42">
        <v>1.99</v>
      </c>
      <c r="L1935" s="42">
        <v>745</v>
      </c>
      <c r="N1935" s="42">
        <v>745</v>
      </c>
    </row>
    <row r="1936" spans="1:14" x14ac:dyDescent="0.25">
      <c r="A1936" s="1">
        <v>46084</v>
      </c>
      <c r="B1936">
        <v>1</v>
      </c>
      <c r="C1936" t="s">
        <v>541</v>
      </c>
      <c r="D1936" t="s">
        <v>10</v>
      </c>
      <c r="E1936" t="s">
        <v>532</v>
      </c>
      <c r="F1936" t="s">
        <v>55</v>
      </c>
      <c r="G1936" t="s">
        <v>346</v>
      </c>
      <c r="I1936" s="42">
        <v>746.99</v>
      </c>
      <c r="J1936" s="42"/>
      <c r="K1936" s="42"/>
      <c r="L1936" s="42">
        <v>746.99</v>
      </c>
      <c r="N1936" s="42">
        <v>746.99</v>
      </c>
    </row>
    <row r="1937" spans="1:14" x14ac:dyDescent="0.25">
      <c r="A1937" s="1">
        <v>46084</v>
      </c>
      <c r="B1937">
        <v>1</v>
      </c>
      <c r="C1937" t="s">
        <v>541</v>
      </c>
      <c r="D1937" t="s">
        <v>10</v>
      </c>
      <c r="E1937" t="s">
        <v>710</v>
      </c>
      <c r="F1937" t="s">
        <v>52</v>
      </c>
      <c r="G1937" t="s">
        <v>515</v>
      </c>
      <c r="I1937" s="42">
        <v>1251.99</v>
      </c>
      <c r="J1937" s="42"/>
      <c r="K1937" s="42"/>
      <c r="L1937" s="42">
        <v>1251.99</v>
      </c>
      <c r="N1937" s="42">
        <v>1251.99</v>
      </c>
    </row>
    <row r="1938" spans="1:14" x14ac:dyDescent="0.25">
      <c r="A1938" s="1">
        <v>46084</v>
      </c>
      <c r="B1938">
        <v>1</v>
      </c>
      <c r="C1938" t="s">
        <v>541</v>
      </c>
      <c r="D1938" t="s">
        <v>10</v>
      </c>
      <c r="E1938" t="s">
        <v>382</v>
      </c>
      <c r="F1938" t="s">
        <v>383</v>
      </c>
      <c r="G1938" t="s">
        <v>349</v>
      </c>
      <c r="I1938" s="42">
        <v>981.99</v>
      </c>
      <c r="J1938" s="42"/>
      <c r="K1938" s="42"/>
      <c r="L1938" s="42">
        <v>981.99</v>
      </c>
      <c r="N1938" s="42">
        <v>981.99</v>
      </c>
    </row>
    <row r="1939" spans="1:14" x14ac:dyDescent="0.25">
      <c r="A1939" s="1">
        <v>46084</v>
      </c>
      <c r="B1939">
        <v>1</v>
      </c>
      <c r="C1939" t="s">
        <v>541</v>
      </c>
      <c r="D1939" t="s">
        <v>10</v>
      </c>
      <c r="E1939" t="s">
        <v>419</v>
      </c>
      <c r="F1939" t="s">
        <v>94</v>
      </c>
      <c r="G1939" t="s">
        <v>420</v>
      </c>
      <c r="I1939" s="42">
        <v>746.99</v>
      </c>
      <c r="J1939" s="42">
        <v>30</v>
      </c>
      <c r="K1939" s="42"/>
      <c r="L1939" s="42">
        <v>776.99</v>
      </c>
      <c r="N1939" s="42">
        <v>776.99</v>
      </c>
    </row>
    <row r="1940" spans="1:14" x14ac:dyDescent="0.25">
      <c r="A1940" s="1">
        <v>46084</v>
      </c>
      <c r="B1940">
        <v>1</v>
      </c>
      <c r="C1940" t="s">
        <v>541</v>
      </c>
      <c r="D1940" t="s">
        <v>10</v>
      </c>
      <c r="E1940" t="s">
        <v>418</v>
      </c>
      <c r="F1940" t="s">
        <v>33</v>
      </c>
      <c r="G1940" t="s">
        <v>346</v>
      </c>
      <c r="I1940" s="42">
        <v>851.99</v>
      </c>
      <c r="J1940" s="42"/>
      <c r="K1940" s="42"/>
      <c r="L1940" s="42">
        <v>851.99</v>
      </c>
      <c r="N1940" s="42">
        <v>851.99</v>
      </c>
    </row>
    <row r="1941" spans="1:14" x14ac:dyDescent="0.25">
      <c r="A1941" s="1">
        <v>46084</v>
      </c>
      <c r="B1941">
        <v>1</v>
      </c>
      <c r="C1941" t="s">
        <v>541</v>
      </c>
      <c r="D1941" t="s">
        <v>10</v>
      </c>
      <c r="E1941" t="s">
        <v>425</v>
      </c>
      <c r="F1941" t="s">
        <v>426</v>
      </c>
      <c r="G1941" t="s">
        <v>349</v>
      </c>
      <c r="I1941" s="42">
        <v>881.99</v>
      </c>
      <c r="J1941" s="42"/>
      <c r="K1941" s="42"/>
      <c r="L1941" s="42">
        <v>881.99</v>
      </c>
      <c r="N1941" s="42">
        <v>881.99</v>
      </c>
    </row>
    <row r="1942" spans="1:14" x14ac:dyDescent="0.25">
      <c r="A1942" s="1">
        <v>46084</v>
      </c>
      <c r="B1942">
        <v>1</v>
      </c>
      <c r="C1942" t="s">
        <v>541</v>
      </c>
      <c r="D1942" t="s">
        <v>10</v>
      </c>
      <c r="E1942" t="s">
        <v>428</v>
      </c>
      <c r="F1942" t="s">
        <v>69</v>
      </c>
      <c r="G1942" t="s">
        <v>378</v>
      </c>
      <c r="I1942" s="42">
        <v>746.99</v>
      </c>
      <c r="J1942" s="42"/>
      <c r="K1942" s="42">
        <v>1.99</v>
      </c>
      <c r="L1942" s="42">
        <v>745</v>
      </c>
      <c r="N1942" s="42">
        <v>745</v>
      </c>
    </row>
    <row r="1943" spans="1:14" x14ac:dyDescent="0.25">
      <c r="A1943" s="1">
        <v>46084</v>
      </c>
      <c r="B1943">
        <v>1</v>
      </c>
      <c r="C1943" t="s">
        <v>541</v>
      </c>
      <c r="D1943" t="s">
        <v>10</v>
      </c>
      <c r="E1943" t="s">
        <v>525</v>
      </c>
      <c r="F1943" t="s">
        <v>158</v>
      </c>
      <c r="G1943" t="s">
        <v>346</v>
      </c>
      <c r="I1943" s="42">
        <v>746.99</v>
      </c>
      <c r="J1943" s="42"/>
      <c r="K1943" s="42"/>
      <c r="L1943" s="42">
        <v>746.99</v>
      </c>
      <c r="N1943" s="42">
        <v>746.99</v>
      </c>
    </row>
    <row r="1944" spans="1:14" x14ac:dyDescent="0.25">
      <c r="A1944" s="1">
        <v>46084</v>
      </c>
      <c r="B1944">
        <v>1</v>
      </c>
      <c r="C1944" t="s">
        <v>541</v>
      </c>
      <c r="D1944" t="s">
        <v>10</v>
      </c>
      <c r="E1944" t="s">
        <v>424</v>
      </c>
      <c r="F1944" t="s">
        <v>12</v>
      </c>
      <c r="G1944" t="s">
        <v>346</v>
      </c>
      <c r="I1944" s="42">
        <v>746.99</v>
      </c>
      <c r="J1944" s="42">
        <v>30.01</v>
      </c>
      <c r="K1944" s="42"/>
      <c r="L1944" s="42">
        <v>777</v>
      </c>
      <c r="N1944" s="42">
        <v>777</v>
      </c>
    </row>
    <row r="1945" spans="1:14" x14ac:dyDescent="0.25">
      <c r="A1945" s="1">
        <v>46084</v>
      </c>
      <c r="B1945">
        <v>1</v>
      </c>
      <c r="C1945" t="s">
        <v>541</v>
      </c>
      <c r="D1945" t="s">
        <v>10</v>
      </c>
      <c r="E1945" t="s">
        <v>394</v>
      </c>
      <c r="F1945" t="s">
        <v>158</v>
      </c>
      <c r="G1945" t="s">
        <v>346</v>
      </c>
      <c r="I1945" s="42">
        <v>746.99</v>
      </c>
      <c r="J1945" s="42"/>
      <c r="K1945" s="42">
        <v>1.99</v>
      </c>
      <c r="L1945" s="42">
        <v>745</v>
      </c>
      <c r="N1945" s="42">
        <v>745</v>
      </c>
    </row>
    <row r="1946" spans="1:14" x14ac:dyDescent="0.25">
      <c r="A1946" s="1">
        <v>46084</v>
      </c>
      <c r="B1946">
        <v>1</v>
      </c>
      <c r="C1946" t="s">
        <v>541</v>
      </c>
      <c r="D1946" t="s">
        <v>10</v>
      </c>
      <c r="E1946" t="s">
        <v>430</v>
      </c>
      <c r="F1946" t="s">
        <v>158</v>
      </c>
      <c r="G1946" t="s">
        <v>346</v>
      </c>
      <c r="I1946" s="42">
        <v>746.99</v>
      </c>
      <c r="J1946" s="42">
        <v>60</v>
      </c>
      <c r="K1946" s="42"/>
      <c r="L1946" s="42">
        <v>806.99</v>
      </c>
      <c r="N1946" s="42">
        <v>806.99</v>
      </c>
    </row>
    <row r="1947" spans="1:14" x14ac:dyDescent="0.25">
      <c r="A1947" s="1">
        <v>46084</v>
      </c>
      <c r="B1947">
        <v>1</v>
      </c>
      <c r="C1947" t="s">
        <v>541</v>
      </c>
      <c r="D1947" t="s">
        <v>10</v>
      </c>
      <c r="E1947" t="s">
        <v>432</v>
      </c>
      <c r="F1947" t="s">
        <v>55</v>
      </c>
      <c r="G1947" t="s">
        <v>433</v>
      </c>
      <c r="I1947" s="42">
        <v>746.99</v>
      </c>
      <c r="J1947" s="42"/>
      <c r="K1947" s="42">
        <v>212.86</v>
      </c>
      <c r="L1947" s="42">
        <v>534.13</v>
      </c>
      <c r="M1947" s="37">
        <v>392.85</v>
      </c>
      <c r="N1947" s="42">
        <v>534.13</v>
      </c>
    </row>
    <row r="1948" spans="1:14" x14ac:dyDescent="0.25">
      <c r="A1948" s="1">
        <v>46084</v>
      </c>
      <c r="B1948">
        <v>1</v>
      </c>
      <c r="C1948" t="s">
        <v>541</v>
      </c>
      <c r="D1948" t="s">
        <v>10</v>
      </c>
      <c r="E1948" t="s">
        <v>434</v>
      </c>
      <c r="F1948" t="s">
        <v>55</v>
      </c>
      <c r="G1948" t="s">
        <v>346</v>
      </c>
      <c r="I1948" s="42">
        <v>746.99</v>
      </c>
      <c r="J1948" s="42"/>
      <c r="K1948" s="42"/>
      <c r="L1948" s="42">
        <v>746.99</v>
      </c>
      <c r="N1948" s="42">
        <v>746.99</v>
      </c>
    </row>
    <row r="1949" spans="1:14" x14ac:dyDescent="0.25">
      <c r="A1949" s="1">
        <v>46084</v>
      </c>
      <c r="B1949">
        <v>1</v>
      </c>
      <c r="C1949" t="s">
        <v>541</v>
      </c>
      <c r="D1949" t="s">
        <v>10</v>
      </c>
      <c r="E1949" t="s">
        <v>437</v>
      </c>
      <c r="F1949" t="s">
        <v>12</v>
      </c>
      <c r="G1949" t="s">
        <v>346</v>
      </c>
      <c r="I1949" s="42">
        <v>746.99</v>
      </c>
      <c r="J1949" s="42"/>
      <c r="K1949" s="42">
        <v>1.99</v>
      </c>
      <c r="L1949" s="42">
        <v>745</v>
      </c>
      <c r="N1949" s="42">
        <v>745</v>
      </c>
    </row>
    <row r="1950" spans="1:14" x14ac:dyDescent="0.25">
      <c r="A1950" s="1">
        <v>46084</v>
      </c>
      <c r="B1950">
        <v>1</v>
      </c>
      <c r="C1950" t="s">
        <v>541</v>
      </c>
      <c r="D1950" t="s">
        <v>10</v>
      </c>
      <c r="E1950" t="s">
        <v>435</v>
      </c>
      <c r="F1950" t="s">
        <v>41</v>
      </c>
      <c r="G1950" t="s">
        <v>398</v>
      </c>
      <c r="I1950" s="42">
        <v>746.99</v>
      </c>
      <c r="J1950" s="42"/>
      <c r="K1950" s="42"/>
      <c r="L1950" s="42">
        <v>746.99</v>
      </c>
      <c r="N1950" s="42">
        <v>746.99</v>
      </c>
    </row>
    <row r="1951" spans="1:14" x14ac:dyDescent="0.25">
      <c r="A1951" s="1">
        <v>46084</v>
      </c>
      <c r="B1951">
        <v>1</v>
      </c>
      <c r="C1951" t="s">
        <v>541</v>
      </c>
      <c r="D1951" t="s">
        <v>10</v>
      </c>
      <c r="E1951" t="s">
        <v>438</v>
      </c>
      <c r="F1951" t="s">
        <v>52</v>
      </c>
      <c r="G1951" t="s">
        <v>359</v>
      </c>
      <c r="I1951" s="42">
        <v>1251.99</v>
      </c>
      <c r="J1951" s="42">
        <v>30</v>
      </c>
      <c r="K1951" s="42"/>
      <c r="L1951" s="42">
        <v>1281.99</v>
      </c>
      <c r="N1951" s="42">
        <v>1281.99</v>
      </c>
    </row>
    <row r="1952" spans="1:14" x14ac:dyDescent="0.25">
      <c r="A1952" s="1">
        <v>46084</v>
      </c>
      <c r="B1952">
        <v>1</v>
      </c>
      <c r="C1952" t="s">
        <v>541</v>
      </c>
      <c r="D1952" t="s">
        <v>10</v>
      </c>
      <c r="E1952" t="s">
        <v>442</v>
      </c>
      <c r="F1952" t="s">
        <v>52</v>
      </c>
      <c r="G1952" t="s">
        <v>346</v>
      </c>
      <c r="I1952" s="42">
        <v>1251.99</v>
      </c>
      <c r="J1952" s="42"/>
      <c r="K1952" s="42">
        <v>1.99</v>
      </c>
      <c r="L1952" s="42">
        <v>1250</v>
      </c>
      <c r="N1952" s="42">
        <v>1250</v>
      </c>
    </row>
    <row r="1953" spans="1:14" x14ac:dyDescent="0.25">
      <c r="A1953" s="1">
        <v>46084</v>
      </c>
      <c r="B1953">
        <v>1</v>
      </c>
      <c r="C1953" t="s">
        <v>541</v>
      </c>
      <c r="D1953" t="s">
        <v>10</v>
      </c>
      <c r="E1953" t="s">
        <v>441</v>
      </c>
      <c r="F1953" t="s">
        <v>52</v>
      </c>
      <c r="G1953" t="s">
        <v>346</v>
      </c>
      <c r="I1953" s="42">
        <v>1251.99</v>
      </c>
      <c r="J1953" s="42">
        <v>30</v>
      </c>
      <c r="K1953" s="42"/>
      <c r="L1953" s="42">
        <v>1281.99</v>
      </c>
      <c r="N1953" s="42">
        <v>1281.99</v>
      </c>
    </row>
    <row r="1954" spans="1:14" x14ac:dyDescent="0.25">
      <c r="A1954" s="1">
        <v>46084</v>
      </c>
      <c r="B1954">
        <v>1</v>
      </c>
      <c r="C1954" t="s">
        <v>541</v>
      </c>
      <c r="D1954" t="s">
        <v>10</v>
      </c>
      <c r="E1954" t="s">
        <v>443</v>
      </c>
      <c r="F1954" t="s">
        <v>52</v>
      </c>
      <c r="G1954" t="s">
        <v>346</v>
      </c>
      <c r="I1954" s="42">
        <v>1251.99</v>
      </c>
      <c r="J1954" s="42"/>
      <c r="K1954" s="42"/>
      <c r="L1954" s="42">
        <v>1251.99</v>
      </c>
      <c r="N1954" s="42">
        <v>1251.99</v>
      </c>
    </row>
    <row r="1955" spans="1:14" x14ac:dyDescent="0.25">
      <c r="A1955" s="1">
        <v>46084</v>
      </c>
      <c r="B1955">
        <v>1</v>
      </c>
      <c r="C1955" t="s">
        <v>541</v>
      </c>
      <c r="D1955" t="s">
        <v>10</v>
      </c>
      <c r="E1955" t="s">
        <v>444</v>
      </c>
      <c r="F1955" t="s">
        <v>52</v>
      </c>
      <c r="G1955" t="s">
        <v>409</v>
      </c>
      <c r="I1955" s="42">
        <v>1251.99</v>
      </c>
      <c r="J1955" s="42">
        <v>0.01</v>
      </c>
      <c r="K1955" s="42"/>
      <c r="L1955" s="42">
        <v>1252</v>
      </c>
      <c r="N1955" s="42">
        <v>1252</v>
      </c>
    </row>
    <row r="1956" spans="1:14" x14ac:dyDescent="0.25">
      <c r="A1956" s="1">
        <v>46084</v>
      </c>
      <c r="B1956">
        <v>1</v>
      </c>
      <c r="C1956" t="s">
        <v>541</v>
      </c>
      <c r="D1956" t="s">
        <v>10</v>
      </c>
      <c r="E1956" t="s">
        <v>446</v>
      </c>
      <c r="F1956" t="s">
        <v>447</v>
      </c>
      <c r="G1956" t="s">
        <v>349</v>
      </c>
      <c r="I1956" s="42">
        <v>851.99</v>
      </c>
      <c r="J1956" s="42"/>
      <c r="K1956" s="42"/>
      <c r="L1956" s="42">
        <v>851.99</v>
      </c>
      <c r="N1956" s="42">
        <v>851.99</v>
      </c>
    </row>
    <row r="1957" spans="1:14" x14ac:dyDescent="0.25">
      <c r="A1957" s="1">
        <v>46084</v>
      </c>
      <c r="B1957">
        <v>1</v>
      </c>
      <c r="C1957" t="s">
        <v>541</v>
      </c>
      <c r="D1957" t="s">
        <v>10</v>
      </c>
      <c r="E1957" t="s">
        <v>448</v>
      </c>
      <c r="F1957" t="s">
        <v>255</v>
      </c>
      <c r="G1957" t="s">
        <v>409</v>
      </c>
      <c r="I1957" s="42">
        <v>801.99</v>
      </c>
      <c r="J1957" s="42">
        <v>30</v>
      </c>
      <c r="K1957" s="42"/>
      <c r="L1957" s="42">
        <v>831.99</v>
      </c>
      <c r="N1957" s="42">
        <v>831.99</v>
      </c>
    </row>
    <row r="1958" spans="1:14" x14ac:dyDescent="0.25">
      <c r="A1958" s="1">
        <v>46084</v>
      </c>
      <c r="B1958">
        <v>1</v>
      </c>
      <c r="C1958" t="s">
        <v>541</v>
      </c>
      <c r="D1958" t="s">
        <v>10</v>
      </c>
      <c r="E1958" t="s">
        <v>506</v>
      </c>
      <c r="F1958" t="s">
        <v>158</v>
      </c>
      <c r="G1958" t="s">
        <v>346</v>
      </c>
      <c r="I1958" s="42">
        <v>746.99</v>
      </c>
      <c r="J1958" s="42">
        <v>0.01</v>
      </c>
      <c r="K1958" s="42"/>
      <c r="L1958" s="42">
        <v>747</v>
      </c>
      <c r="N1958" s="42">
        <v>747</v>
      </c>
    </row>
    <row r="1959" spans="1:14" x14ac:dyDescent="0.25">
      <c r="A1959" s="1">
        <v>46084</v>
      </c>
      <c r="B1959">
        <v>1</v>
      </c>
      <c r="C1959" t="s">
        <v>541</v>
      </c>
      <c r="D1959" t="s">
        <v>10</v>
      </c>
      <c r="E1959" t="s">
        <v>526</v>
      </c>
      <c r="F1959" t="s">
        <v>158</v>
      </c>
      <c r="G1959" t="s">
        <v>346</v>
      </c>
      <c r="I1959" s="42">
        <v>746.99</v>
      </c>
      <c r="J1959" s="42"/>
      <c r="K1959" s="42"/>
      <c r="L1959" s="42">
        <v>746.99</v>
      </c>
      <c r="N1959" s="42">
        <v>746.99</v>
      </c>
    </row>
    <row r="1960" spans="1:14" x14ac:dyDescent="0.25">
      <c r="A1960" s="1">
        <v>46084</v>
      </c>
      <c r="B1960">
        <v>1</v>
      </c>
      <c r="C1960" t="s">
        <v>541</v>
      </c>
      <c r="D1960" t="s">
        <v>10</v>
      </c>
      <c r="E1960" t="s">
        <v>509</v>
      </c>
      <c r="F1960" t="s">
        <v>12</v>
      </c>
      <c r="G1960" t="s">
        <v>346</v>
      </c>
      <c r="I1960" s="42">
        <v>746.99</v>
      </c>
      <c r="J1960" s="42"/>
      <c r="K1960" s="42"/>
      <c r="L1960" s="42">
        <v>746.99</v>
      </c>
      <c r="N1960" s="42">
        <v>746.99</v>
      </c>
    </row>
    <row r="1961" spans="1:14" x14ac:dyDescent="0.25">
      <c r="A1961" s="1">
        <v>46084</v>
      </c>
      <c r="B1961">
        <v>1</v>
      </c>
      <c r="C1961" t="s">
        <v>541</v>
      </c>
      <c r="D1961" t="s">
        <v>10</v>
      </c>
      <c r="E1961" t="s">
        <v>491</v>
      </c>
      <c r="F1961" t="s">
        <v>403</v>
      </c>
      <c r="G1961" t="s">
        <v>346</v>
      </c>
      <c r="I1961" s="42">
        <v>1001.99</v>
      </c>
      <c r="J1961" s="42"/>
      <c r="K1961" s="42"/>
      <c r="L1961" s="42">
        <v>1001.99</v>
      </c>
      <c r="N1961" s="42">
        <v>1001.99</v>
      </c>
    </row>
    <row r="1962" spans="1:14" x14ac:dyDescent="0.25">
      <c r="A1962" s="1">
        <v>46084</v>
      </c>
      <c r="B1962">
        <v>1</v>
      </c>
      <c r="C1962" t="s">
        <v>541</v>
      </c>
      <c r="D1962" t="s">
        <v>10</v>
      </c>
      <c r="E1962" t="s">
        <v>521</v>
      </c>
      <c r="F1962" t="s">
        <v>522</v>
      </c>
      <c r="G1962" t="s">
        <v>523</v>
      </c>
      <c r="I1962" s="42">
        <v>851.99</v>
      </c>
      <c r="J1962" s="42"/>
      <c r="K1962" s="42"/>
      <c r="L1962" s="42">
        <v>851.99</v>
      </c>
      <c r="M1962" s="37">
        <v>349.63</v>
      </c>
      <c r="N1962" s="42">
        <v>851.99</v>
      </c>
    </row>
    <row r="1963" spans="1:14" x14ac:dyDescent="0.25">
      <c r="A1963" s="1">
        <v>46084</v>
      </c>
      <c r="B1963">
        <v>1</v>
      </c>
      <c r="C1963" t="s">
        <v>541</v>
      </c>
      <c r="D1963" t="s">
        <v>10</v>
      </c>
      <c r="E1963" t="s">
        <v>533</v>
      </c>
      <c r="F1963" t="s">
        <v>211</v>
      </c>
      <c r="G1963" t="s">
        <v>346</v>
      </c>
      <c r="I1963" s="42">
        <v>746.99</v>
      </c>
      <c r="J1963" s="42"/>
      <c r="K1963" s="42"/>
      <c r="L1963" s="42">
        <v>746.99</v>
      </c>
      <c r="N1963" s="42">
        <v>746.99</v>
      </c>
    </row>
    <row r="1964" spans="1:14" x14ac:dyDescent="0.25">
      <c r="A1964" s="1">
        <v>46084</v>
      </c>
      <c r="B1964">
        <v>1</v>
      </c>
      <c r="C1964" t="s">
        <v>541</v>
      </c>
      <c r="D1964" t="s">
        <v>10</v>
      </c>
      <c r="E1964" t="s">
        <v>464</v>
      </c>
      <c r="F1964" t="s">
        <v>55</v>
      </c>
      <c r="G1964" t="s">
        <v>346</v>
      </c>
      <c r="I1964" s="42">
        <v>746.99</v>
      </c>
      <c r="J1964" s="42"/>
      <c r="K1964" s="42"/>
      <c r="L1964" s="42">
        <v>800</v>
      </c>
      <c r="N1964" s="42">
        <v>746.99</v>
      </c>
    </row>
    <row r="1965" spans="1:14" x14ac:dyDescent="0.25">
      <c r="A1965" s="1">
        <v>46084</v>
      </c>
      <c r="B1965">
        <v>1</v>
      </c>
      <c r="C1965" t="s">
        <v>541</v>
      </c>
      <c r="D1965" t="s">
        <v>10</v>
      </c>
      <c r="E1965" t="s">
        <v>368</v>
      </c>
      <c r="F1965" t="s">
        <v>369</v>
      </c>
      <c r="G1965" t="s">
        <v>370</v>
      </c>
      <c r="I1965" s="42">
        <v>981.99</v>
      </c>
      <c r="J1965" s="42"/>
      <c r="K1965" s="42"/>
      <c r="L1965" s="42">
        <v>1476.99</v>
      </c>
      <c r="N1965" s="42">
        <v>981.99</v>
      </c>
    </row>
    <row r="1966" spans="1:14" x14ac:dyDescent="0.25">
      <c r="A1966" s="1">
        <v>46084</v>
      </c>
      <c r="B1966">
        <v>1</v>
      </c>
      <c r="C1966" t="s">
        <v>541</v>
      </c>
      <c r="D1966" t="s">
        <v>10</v>
      </c>
      <c r="E1966" t="s">
        <v>719</v>
      </c>
      <c r="F1966" t="s">
        <v>369</v>
      </c>
      <c r="G1966" t="s">
        <v>370</v>
      </c>
      <c r="I1966" s="42">
        <v>981.99</v>
      </c>
      <c r="J1966" s="42"/>
      <c r="K1966" s="42">
        <v>1.99</v>
      </c>
      <c r="L1966" s="42">
        <v>1025</v>
      </c>
      <c r="N1966" s="42">
        <v>980</v>
      </c>
    </row>
    <row r="1967" spans="1:14" x14ac:dyDescent="0.25">
      <c r="A1967" s="1">
        <v>46084</v>
      </c>
      <c r="B1967">
        <v>1</v>
      </c>
      <c r="C1967" t="s">
        <v>541</v>
      </c>
      <c r="D1967" t="s">
        <v>10</v>
      </c>
      <c r="E1967" t="s">
        <v>508</v>
      </c>
      <c r="F1967" t="s">
        <v>158</v>
      </c>
      <c r="G1967" t="s">
        <v>346</v>
      </c>
      <c r="I1967" s="42">
        <v>746.99</v>
      </c>
      <c r="J1967" s="42"/>
      <c r="K1967" s="42"/>
      <c r="L1967" s="42">
        <v>1241.99</v>
      </c>
      <c r="N1967" s="42">
        <v>746.99</v>
      </c>
    </row>
    <row r="1968" spans="1:14" x14ac:dyDescent="0.25">
      <c r="A1968" s="1">
        <v>46084</v>
      </c>
      <c r="B1968">
        <v>1</v>
      </c>
      <c r="C1968" t="s">
        <v>541</v>
      </c>
      <c r="D1968" t="s">
        <v>10</v>
      </c>
      <c r="E1968" t="s">
        <v>362</v>
      </c>
      <c r="F1968" t="s">
        <v>52</v>
      </c>
      <c r="G1968" t="s">
        <v>363</v>
      </c>
      <c r="I1968" s="42">
        <v>1251.99</v>
      </c>
      <c r="J1968" s="42">
        <v>28.01</v>
      </c>
      <c r="K1968" s="42"/>
      <c r="L1968" s="42">
        <v>1280</v>
      </c>
      <c r="N1968" s="42">
        <v>1280</v>
      </c>
    </row>
    <row r="1969" spans="1:14" x14ac:dyDescent="0.25">
      <c r="A1969" s="1">
        <v>46084</v>
      </c>
      <c r="B1969">
        <v>1</v>
      </c>
      <c r="C1969" t="s">
        <v>541</v>
      </c>
      <c r="D1969" t="s">
        <v>10</v>
      </c>
      <c r="E1969" t="s">
        <v>399</v>
      </c>
      <c r="F1969" t="s">
        <v>12</v>
      </c>
      <c r="G1969" t="s">
        <v>346</v>
      </c>
      <c r="I1969" s="42">
        <v>746.99</v>
      </c>
      <c r="J1969" s="42"/>
      <c r="K1969" s="42"/>
      <c r="L1969" s="42">
        <v>746.99</v>
      </c>
      <c r="N1969" s="42">
        <v>746.99</v>
      </c>
    </row>
    <row r="1970" spans="1:14" x14ac:dyDescent="0.25">
      <c r="A1970" s="1">
        <v>46084</v>
      </c>
      <c r="B1970">
        <v>1</v>
      </c>
      <c r="C1970" t="s">
        <v>541</v>
      </c>
      <c r="D1970" t="s">
        <v>10</v>
      </c>
      <c r="E1970" t="s">
        <v>423</v>
      </c>
      <c r="F1970" t="s">
        <v>12</v>
      </c>
      <c r="G1970" t="s">
        <v>346</v>
      </c>
      <c r="I1970" s="42">
        <v>746.99</v>
      </c>
      <c r="J1970" s="42"/>
      <c r="K1970" s="42"/>
      <c r="L1970" s="42">
        <v>746.99</v>
      </c>
      <c r="N1970" s="42">
        <v>746.99</v>
      </c>
    </row>
    <row r="1971" spans="1:14" x14ac:dyDescent="0.25">
      <c r="A1971" s="1">
        <v>46084</v>
      </c>
      <c r="B1971">
        <v>1</v>
      </c>
      <c r="C1971" t="s">
        <v>541</v>
      </c>
      <c r="D1971" t="s">
        <v>10</v>
      </c>
      <c r="E1971" t="s">
        <v>439</v>
      </c>
      <c r="F1971" t="s">
        <v>52</v>
      </c>
      <c r="G1971" t="s">
        <v>346</v>
      </c>
      <c r="I1971" s="42">
        <v>1251.99</v>
      </c>
      <c r="J1971" s="42">
        <v>30</v>
      </c>
      <c r="K1971" s="42"/>
      <c r="L1971" s="42">
        <v>1281.99</v>
      </c>
      <c r="N1971" s="42">
        <v>1281.99</v>
      </c>
    </row>
    <row r="1972" spans="1:14" x14ac:dyDescent="0.25">
      <c r="A1972" s="1">
        <v>46084</v>
      </c>
      <c r="B1972">
        <v>1</v>
      </c>
      <c r="C1972" t="s">
        <v>541</v>
      </c>
      <c r="D1972" t="s">
        <v>10</v>
      </c>
      <c r="E1972" t="s">
        <v>450</v>
      </c>
      <c r="F1972" t="s">
        <v>451</v>
      </c>
      <c r="G1972" t="s">
        <v>346</v>
      </c>
      <c r="I1972" s="42">
        <v>1351.99</v>
      </c>
      <c r="J1972" s="42">
        <v>30.01</v>
      </c>
      <c r="K1972" s="42"/>
      <c r="L1972" s="42">
        <v>1382</v>
      </c>
      <c r="N1972" s="42">
        <v>1382</v>
      </c>
    </row>
    <row r="1973" spans="1:14" x14ac:dyDescent="0.25">
      <c r="A1973" s="1">
        <v>46084</v>
      </c>
      <c r="B1973">
        <v>1</v>
      </c>
      <c r="C1973" t="s">
        <v>541</v>
      </c>
      <c r="D1973" t="s">
        <v>10</v>
      </c>
      <c r="E1973" t="s">
        <v>452</v>
      </c>
      <c r="F1973" t="s">
        <v>12</v>
      </c>
      <c r="G1973" t="s">
        <v>346</v>
      </c>
      <c r="I1973" s="42">
        <v>746.99</v>
      </c>
      <c r="J1973" s="42">
        <v>120</v>
      </c>
      <c r="K1973" s="42"/>
      <c r="L1973" s="42">
        <v>866.99</v>
      </c>
      <c r="N1973" s="42">
        <v>866.99</v>
      </c>
    </row>
    <row r="1974" spans="1:14" x14ac:dyDescent="0.25">
      <c r="A1974" s="1">
        <v>46084</v>
      </c>
      <c r="B1974">
        <v>1</v>
      </c>
      <c r="C1974" t="s">
        <v>541</v>
      </c>
      <c r="D1974" t="s">
        <v>10</v>
      </c>
      <c r="E1974" t="s">
        <v>499</v>
      </c>
      <c r="F1974" t="s">
        <v>500</v>
      </c>
      <c r="G1974" t="s">
        <v>363</v>
      </c>
      <c r="I1974" s="42">
        <v>1101.99</v>
      </c>
      <c r="J1974" s="42"/>
      <c r="K1974" s="42">
        <v>157.13999999999999</v>
      </c>
      <c r="L1974" s="42">
        <v>944.85</v>
      </c>
      <c r="N1974" s="42">
        <v>944.85</v>
      </c>
    </row>
    <row r="1975" spans="1:14" x14ac:dyDescent="0.25">
      <c r="A1975" s="1">
        <v>46084</v>
      </c>
      <c r="B1975">
        <v>1</v>
      </c>
      <c r="C1975" t="s">
        <v>541</v>
      </c>
      <c r="D1975" t="s">
        <v>10</v>
      </c>
      <c r="E1975" t="s">
        <v>453</v>
      </c>
      <c r="F1975" t="s">
        <v>387</v>
      </c>
      <c r="G1975" t="s">
        <v>349</v>
      </c>
      <c r="I1975" s="42">
        <v>801.99</v>
      </c>
      <c r="J1975" s="42"/>
      <c r="K1975" s="42">
        <v>571.45000000000005</v>
      </c>
      <c r="L1975" s="42">
        <v>230.54</v>
      </c>
      <c r="N1975" s="42"/>
    </row>
    <row r="1976" spans="1:14" x14ac:dyDescent="0.25">
      <c r="A1976" s="1">
        <v>46084</v>
      </c>
      <c r="B1976">
        <v>1</v>
      </c>
      <c r="C1976" t="s">
        <v>541</v>
      </c>
      <c r="D1976" t="s">
        <v>10</v>
      </c>
      <c r="E1976" t="s">
        <v>456</v>
      </c>
      <c r="F1976" t="s">
        <v>41</v>
      </c>
      <c r="G1976" t="s">
        <v>457</v>
      </c>
      <c r="I1976" s="42">
        <v>746.99</v>
      </c>
      <c r="J1976" s="42"/>
      <c r="K1976" s="42">
        <v>1.99</v>
      </c>
      <c r="L1976" s="42">
        <v>745</v>
      </c>
      <c r="N1976" s="42">
        <v>745</v>
      </c>
    </row>
    <row r="1977" spans="1:14" x14ac:dyDescent="0.25">
      <c r="A1977" s="1">
        <v>46084</v>
      </c>
      <c r="B1977">
        <v>1</v>
      </c>
      <c r="C1977" t="s">
        <v>541</v>
      </c>
      <c r="D1977" t="s">
        <v>10</v>
      </c>
      <c r="E1977" t="s">
        <v>458</v>
      </c>
      <c r="F1977" t="s">
        <v>41</v>
      </c>
      <c r="G1977" t="s">
        <v>380</v>
      </c>
      <c r="I1977" s="42">
        <v>746.99</v>
      </c>
      <c r="J1977" s="42"/>
      <c r="K1977" s="42">
        <v>1.99</v>
      </c>
      <c r="L1977" s="42">
        <v>745</v>
      </c>
      <c r="N1977" s="42">
        <v>745</v>
      </c>
    </row>
    <row r="1978" spans="1:14" x14ac:dyDescent="0.25">
      <c r="A1978" s="1">
        <v>46084</v>
      </c>
      <c r="B1978">
        <v>1</v>
      </c>
      <c r="C1978" t="s">
        <v>541</v>
      </c>
      <c r="D1978" t="s">
        <v>10</v>
      </c>
      <c r="E1978" t="s">
        <v>460</v>
      </c>
      <c r="F1978" t="s">
        <v>41</v>
      </c>
      <c r="G1978" t="s">
        <v>346</v>
      </c>
      <c r="I1978" s="42">
        <v>746.99</v>
      </c>
      <c r="J1978" s="42">
        <v>0.01</v>
      </c>
      <c r="K1978" s="42"/>
      <c r="L1978" s="42">
        <v>747</v>
      </c>
      <c r="N1978" s="42">
        <v>747</v>
      </c>
    </row>
    <row r="1979" spans="1:14" x14ac:dyDescent="0.25">
      <c r="A1979" s="1">
        <v>46084</v>
      </c>
      <c r="B1979">
        <v>1</v>
      </c>
      <c r="C1979" t="s">
        <v>541</v>
      </c>
      <c r="D1979" t="s">
        <v>10</v>
      </c>
      <c r="E1979" t="s">
        <v>461</v>
      </c>
      <c r="F1979" t="s">
        <v>41</v>
      </c>
      <c r="G1979" t="s">
        <v>462</v>
      </c>
      <c r="I1979" s="42">
        <v>746.99</v>
      </c>
      <c r="J1979" s="42"/>
      <c r="K1979" s="42"/>
      <c r="L1979" s="42">
        <v>1241.99</v>
      </c>
      <c r="N1979" s="42">
        <v>746.99</v>
      </c>
    </row>
    <row r="1980" spans="1:14" x14ac:dyDescent="0.25">
      <c r="A1980" s="1">
        <v>46084</v>
      </c>
      <c r="B1980">
        <v>1</v>
      </c>
      <c r="C1980" t="s">
        <v>541</v>
      </c>
      <c r="D1980" t="s">
        <v>10</v>
      </c>
      <c r="E1980" t="s">
        <v>463</v>
      </c>
      <c r="F1980" t="s">
        <v>158</v>
      </c>
      <c r="G1980" t="s">
        <v>346</v>
      </c>
      <c r="I1980" s="42">
        <v>746.99</v>
      </c>
      <c r="J1980" s="42"/>
      <c r="K1980" s="42">
        <v>1.99</v>
      </c>
      <c r="L1980" s="42">
        <v>745</v>
      </c>
      <c r="N1980" s="42">
        <v>745</v>
      </c>
    </row>
    <row r="1981" spans="1:14" x14ac:dyDescent="0.25">
      <c r="A1981" s="1">
        <v>46084</v>
      </c>
      <c r="B1981">
        <v>1</v>
      </c>
      <c r="C1981" t="s">
        <v>541</v>
      </c>
      <c r="D1981" t="s">
        <v>10</v>
      </c>
      <c r="E1981" t="s">
        <v>465</v>
      </c>
      <c r="F1981" t="s">
        <v>41</v>
      </c>
      <c r="G1981" t="s">
        <v>346</v>
      </c>
      <c r="I1981" s="42">
        <v>746.99</v>
      </c>
      <c r="J1981" s="42"/>
      <c r="K1981" s="42"/>
      <c r="L1981" s="42">
        <v>746.99</v>
      </c>
      <c r="N1981" s="42">
        <v>746.99</v>
      </c>
    </row>
    <row r="1982" spans="1:14" x14ac:dyDescent="0.25">
      <c r="A1982" s="1">
        <v>46084</v>
      </c>
      <c r="B1982">
        <v>1</v>
      </c>
      <c r="C1982" t="s">
        <v>541</v>
      </c>
      <c r="D1982" t="s">
        <v>10</v>
      </c>
      <c r="E1982" t="s">
        <v>470</v>
      </c>
      <c r="F1982" t="s">
        <v>55</v>
      </c>
      <c r="G1982" t="s">
        <v>346</v>
      </c>
      <c r="I1982" s="42">
        <v>746.99</v>
      </c>
      <c r="J1982" s="42"/>
      <c r="K1982" s="42">
        <v>1.99</v>
      </c>
      <c r="L1982" s="42">
        <v>745</v>
      </c>
      <c r="N1982" s="42">
        <v>745</v>
      </c>
    </row>
    <row r="1983" spans="1:14" x14ac:dyDescent="0.25">
      <c r="A1983" s="1">
        <v>46084</v>
      </c>
      <c r="B1983">
        <v>1</v>
      </c>
      <c r="C1983" t="s">
        <v>541</v>
      </c>
      <c r="D1983" t="s">
        <v>10</v>
      </c>
      <c r="E1983" t="s">
        <v>471</v>
      </c>
      <c r="F1983" t="s">
        <v>472</v>
      </c>
      <c r="G1983" t="s">
        <v>346</v>
      </c>
      <c r="I1983" s="42">
        <v>746.99</v>
      </c>
      <c r="J1983" s="42">
        <v>0.01</v>
      </c>
      <c r="K1983" s="42"/>
      <c r="L1983" s="42">
        <v>747</v>
      </c>
      <c r="N1983" s="42">
        <v>747</v>
      </c>
    </row>
    <row r="1984" spans="1:14" x14ac:dyDescent="0.25">
      <c r="A1984" s="1">
        <v>46084</v>
      </c>
      <c r="B1984">
        <v>1</v>
      </c>
      <c r="C1984" t="s">
        <v>541</v>
      </c>
      <c r="D1984" t="s">
        <v>10</v>
      </c>
      <c r="E1984" t="s">
        <v>474</v>
      </c>
      <c r="F1984" t="s">
        <v>230</v>
      </c>
      <c r="G1984" t="s">
        <v>467</v>
      </c>
      <c r="I1984" s="42">
        <v>746.99</v>
      </c>
      <c r="J1984" s="42">
        <v>29.01</v>
      </c>
      <c r="K1984" s="42"/>
      <c r="L1984" s="42">
        <v>776</v>
      </c>
      <c r="M1984" s="37">
        <v>199.49</v>
      </c>
      <c r="N1984" s="42">
        <v>776</v>
      </c>
    </row>
    <row r="1985" spans="1:14" x14ac:dyDescent="0.25">
      <c r="A1985" s="1">
        <v>46084</v>
      </c>
      <c r="B1985">
        <v>1</v>
      </c>
      <c r="C1985" t="s">
        <v>541</v>
      </c>
      <c r="D1985" t="s">
        <v>10</v>
      </c>
      <c r="E1985" t="s">
        <v>478</v>
      </c>
      <c r="F1985" t="s">
        <v>158</v>
      </c>
      <c r="G1985" t="s">
        <v>346</v>
      </c>
      <c r="I1985" s="42">
        <v>746.99</v>
      </c>
      <c r="J1985" s="42"/>
      <c r="K1985" s="42"/>
      <c r="L1985" s="42">
        <v>746.99</v>
      </c>
      <c r="N1985" s="42">
        <v>746.99</v>
      </c>
    </row>
    <row r="1986" spans="1:14" x14ac:dyDescent="0.25">
      <c r="A1986" s="1">
        <v>46084</v>
      </c>
      <c r="B1986">
        <v>1</v>
      </c>
      <c r="C1986" t="s">
        <v>541</v>
      </c>
      <c r="D1986" t="s">
        <v>10</v>
      </c>
      <c r="E1986" t="s">
        <v>480</v>
      </c>
      <c r="F1986" t="s">
        <v>158</v>
      </c>
      <c r="G1986" t="s">
        <v>346</v>
      </c>
      <c r="I1986" s="42">
        <v>746.99</v>
      </c>
      <c r="J1986" s="42"/>
      <c r="K1986" s="42"/>
      <c r="L1986" s="42">
        <v>746.99</v>
      </c>
      <c r="N1986" s="42">
        <v>746.99</v>
      </c>
    </row>
    <row r="1987" spans="1:14" x14ac:dyDescent="0.25">
      <c r="A1987" s="1">
        <v>46084</v>
      </c>
      <c r="B1987">
        <v>1</v>
      </c>
      <c r="C1987" t="s">
        <v>541</v>
      </c>
      <c r="D1987" t="s">
        <v>10</v>
      </c>
      <c r="E1987" t="s">
        <v>481</v>
      </c>
      <c r="F1987" t="s">
        <v>41</v>
      </c>
      <c r="G1987" t="s">
        <v>398</v>
      </c>
      <c r="I1987" s="42">
        <v>746.99</v>
      </c>
      <c r="J1987" s="42"/>
      <c r="K1987" s="42"/>
      <c r="L1987" s="42">
        <v>746.99</v>
      </c>
      <c r="M1987" s="37">
        <v>619.53</v>
      </c>
      <c r="N1987" s="42">
        <v>746.99</v>
      </c>
    </row>
    <row r="1988" spans="1:14" x14ac:dyDescent="0.25">
      <c r="A1988" s="1">
        <v>46084</v>
      </c>
      <c r="B1988">
        <v>1</v>
      </c>
      <c r="C1988" t="s">
        <v>541</v>
      </c>
      <c r="D1988" t="s">
        <v>10</v>
      </c>
      <c r="E1988" t="s">
        <v>483</v>
      </c>
      <c r="F1988" t="s">
        <v>158</v>
      </c>
      <c r="G1988" t="s">
        <v>346</v>
      </c>
      <c r="I1988" s="42">
        <v>746.99</v>
      </c>
      <c r="J1988" s="42"/>
      <c r="K1988" s="42">
        <v>425.78</v>
      </c>
      <c r="L1988" s="42">
        <v>321.20999999999998</v>
      </c>
      <c r="N1988" s="42">
        <v>321.20999999999998</v>
      </c>
    </row>
    <row r="1989" spans="1:14" x14ac:dyDescent="0.25">
      <c r="A1989" s="1">
        <v>46084</v>
      </c>
      <c r="B1989">
        <v>1</v>
      </c>
      <c r="C1989" t="s">
        <v>541</v>
      </c>
      <c r="D1989" t="s">
        <v>10</v>
      </c>
      <c r="E1989" t="s">
        <v>484</v>
      </c>
      <c r="F1989" t="s">
        <v>158</v>
      </c>
      <c r="G1989" t="s">
        <v>346</v>
      </c>
      <c r="I1989" s="42">
        <v>746.99</v>
      </c>
      <c r="J1989" s="42"/>
      <c r="K1989" s="42">
        <v>185.99</v>
      </c>
      <c r="L1989" s="42">
        <v>561</v>
      </c>
      <c r="N1989" s="42">
        <v>561</v>
      </c>
    </row>
    <row r="1990" spans="1:14" x14ac:dyDescent="0.25">
      <c r="A1990" s="1">
        <v>46084</v>
      </c>
      <c r="B1990">
        <v>1</v>
      </c>
      <c r="C1990" t="s">
        <v>541</v>
      </c>
      <c r="D1990" t="s">
        <v>10</v>
      </c>
      <c r="E1990" t="s">
        <v>485</v>
      </c>
      <c r="F1990" t="s">
        <v>37</v>
      </c>
      <c r="G1990" t="s">
        <v>346</v>
      </c>
      <c r="I1990" s="42">
        <v>746.99</v>
      </c>
      <c r="J1990" s="42"/>
      <c r="K1990" s="42"/>
      <c r="L1990" s="42">
        <v>746.99</v>
      </c>
      <c r="N1990" s="42">
        <v>746.99</v>
      </c>
    </row>
    <row r="1991" spans="1:14" x14ac:dyDescent="0.25">
      <c r="A1991" s="1">
        <v>46084</v>
      </c>
      <c r="B1991">
        <v>1</v>
      </c>
      <c r="C1991" t="s">
        <v>541</v>
      </c>
      <c r="D1991" t="s">
        <v>10</v>
      </c>
      <c r="E1991" t="s">
        <v>487</v>
      </c>
      <c r="F1991" t="s">
        <v>52</v>
      </c>
      <c r="G1991" t="s">
        <v>359</v>
      </c>
      <c r="I1991" s="42">
        <v>1251.99</v>
      </c>
      <c r="J1991" s="42">
        <v>30</v>
      </c>
      <c r="K1991" s="42"/>
      <c r="L1991" s="42">
        <v>1281.99</v>
      </c>
      <c r="N1991" s="42">
        <v>1281.99</v>
      </c>
    </row>
    <row r="1992" spans="1:14" x14ac:dyDescent="0.25">
      <c r="A1992" s="1">
        <v>46084</v>
      </c>
      <c r="B1992">
        <v>1</v>
      </c>
      <c r="C1992" t="s">
        <v>541</v>
      </c>
      <c r="D1992" t="s">
        <v>10</v>
      </c>
      <c r="E1992" t="s">
        <v>488</v>
      </c>
      <c r="F1992" t="s">
        <v>407</v>
      </c>
      <c r="G1992" t="s">
        <v>346</v>
      </c>
      <c r="I1992" s="42">
        <v>801.99</v>
      </c>
      <c r="J1992" s="42"/>
      <c r="K1992" s="42">
        <v>168.28</v>
      </c>
      <c r="L1992" s="42">
        <v>633.71</v>
      </c>
      <c r="N1992" s="42"/>
    </row>
    <row r="1993" spans="1:14" x14ac:dyDescent="0.25">
      <c r="A1993" s="1">
        <v>46084</v>
      </c>
      <c r="B1993">
        <v>1</v>
      </c>
      <c r="C1993" t="s">
        <v>541</v>
      </c>
      <c r="D1993" t="s">
        <v>10</v>
      </c>
      <c r="E1993" t="s">
        <v>490</v>
      </c>
      <c r="F1993" t="s">
        <v>403</v>
      </c>
      <c r="G1993" t="s">
        <v>346</v>
      </c>
      <c r="I1993" s="42">
        <v>931.99</v>
      </c>
      <c r="J1993" s="42"/>
      <c r="K1993" s="42">
        <v>931.99</v>
      </c>
      <c r="L1993" s="42">
        <v>0</v>
      </c>
      <c r="N1993" s="42"/>
    </row>
    <row r="1994" spans="1:14" x14ac:dyDescent="0.25">
      <c r="A1994" s="1">
        <v>46084</v>
      </c>
      <c r="B1994">
        <v>1</v>
      </c>
      <c r="C1994" t="s">
        <v>541</v>
      </c>
      <c r="D1994" t="s">
        <v>10</v>
      </c>
      <c r="E1994" t="s">
        <v>496</v>
      </c>
      <c r="F1994" t="s">
        <v>403</v>
      </c>
      <c r="G1994" t="s">
        <v>346</v>
      </c>
      <c r="I1994" s="42">
        <v>1000</v>
      </c>
      <c r="J1994" s="42">
        <v>0.3</v>
      </c>
      <c r="K1994" s="42"/>
      <c r="L1994" s="42">
        <v>1000.3</v>
      </c>
      <c r="N1994" s="42">
        <v>1000.3</v>
      </c>
    </row>
    <row r="1995" spans="1:14" x14ac:dyDescent="0.25">
      <c r="A1995" s="1">
        <v>46084</v>
      </c>
      <c r="B1995">
        <v>1</v>
      </c>
      <c r="C1995" t="s">
        <v>541</v>
      </c>
      <c r="D1995" t="s">
        <v>10</v>
      </c>
      <c r="E1995" t="s">
        <v>702</v>
      </c>
      <c r="F1995" t="s">
        <v>55</v>
      </c>
      <c r="G1995" t="s">
        <v>703</v>
      </c>
      <c r="I1995" s="42">
        <v>746.99</v>
      </c>
      <c r="J1995" s="42">
        <v>120</v>
      </c>
      <c r="K1995" s="42"/>
      <c r="L1995" s="42">
        <v>866.99</v>
      </c>
      <c r="N1995" s="42">
        <v>866.99</v>
      </c>
    </row>
    <row r="1996" spans="1:14" x14ac:dyDescent="0.25">
      <c r="A1996" s="1">
        <v>46084</v>
      </c>
      <c r="B1996">
        <v>1</v>
      </c>
      <c r="C1996" t="s">
        <v>541</v>
      </c>
      <c r="D1996" t="s">
        <v>10</v>
      </c>
      <c r="E1996" t="s">
        <v>492</v>
      </c>
      <c r="F1996" t="s">
        <v>28</v>
      </c>
      <c r="G1996" t="s">
        <v>493</v>
      </c>
      <c r="I1996" s="42">
        <v>931.99</v>
      </c>
      <c r="J1996" s="42"/>
      <c r="K1996" s="42"/>
      <c r="L1996" s="42">
        <v>931.99</v>
      </c>
      <c r="N1996" s="42">
        <v>931.99</v>
      </c>
    </row>
    <row r="1997" spans="1:14" x14ac:dyDescent="0.25">
      <c r="A1997" s="1">
        <v>46084</v>
      </c>
      <c r="B1997">
        <v>1</v>
      </c>
      <c r="C1997" t="s">
        <v>541</v>
      </c>
      <c r="D1997" t="s">
        <v>10</v>
      </c>
      <c r="E1997" t="s">
        <v>502</v>
      </c>
      <c r="F1997" t="s">
        <v>55</v>
      </c>
      <c r="G1997" t="s">
        <v>346</v>
      </c>
      <c r="I1997" s="42">
        <v>746.99</v>
      </c>
      <c r="J1997" s="42"/>
      <c r="K1997" s="42">
        <v>313.29000000000002</v>
      </c>
      <c r="L1997" s="42">
        <v>433.7</v>
      </c>
      <c r="N1997" s="42">
        <v>433.7</v>
      </c>
    </row>
    <row r="1998" spans="1:14" x14ac:dyDescent="0.25">
      <c r="A1998" s="1">
        <v>46084</v>
      </c>
      <c r="B1998">
        <v>1</v>
      </c>
      <c r="C1998" t="s">
        <v>541</v>
      </c>
      <c r="D1998" t="s">
        <v>10</v>
      </c>
      <c r="E1998" t="s">
        <v>417</v>
      </c>
      <c r="F1998" t="s">
        <v>52</v>
      </c>
      <c r="G1998" t="s">
        <v>359</v>
      </c>
      <c r="I1998" s="42">
        <v>1251.99</v>
      </c>
      <c r="J1998" s="42">
        <v>30.01</v>
      </c>
      <c r="K1998" s="42"/>
      <c r="L1998" s="42">
        <v>1282</v>
      </c>
      <c r="N1998" s="42">
        <v>1282</v>
      </c>
    </row>
    <row r="1999" spans="1:14" x14ac:dyDescent="0.25">
      <c r="A1999" s="1">
        <v>46084</v>
      </c>
      <c r="B1999">
        <v>1</v>
      </c>
      <c r="C1999" t="s">
        <v>541</v>
      </c>
      <c r="D1999" t="s">
        <v>10</v>
      </c>
      <c r="E1999" t="s">
        <v>497</v>
      </c>
      <c r="F1999" t="s">
        <v>498</v>
      </c>
      <c r="G1999" t="s">
        <v>349</v>
      </c>
      <c r="I1999" s="42">
        <v>901.99</v>
      </c>
      <c r="J1999" s="42"/>
      <c r="K1999" s="42">
        <v>128.57</v>
      </c>
      <c r="L1999" s="42">
        <v>773.42</v>
      </c>
      <c r="N1999" s="42">
        <v>773.42</v>
      </c>
    </row>
    <row r="2000" spans="1:14" x14ac:dyDescent="0.25">
      <c r="A2000" s="1">
        <v>46084</v>
      </c>
      <c r="B2000">
        <v>1</v>
      </c>
      <c r="C2000" t="s">
        <v>542</v>
      </c>
      <c r="D2000" t="s">
        <v>89</v>
      </c>
      <c r="E2000" t="s">
        <v>473</v>
      </c>
      <c r="F2000" t="s">
        <v>158</v>
      </c>
      <c r="G2000" t="s">
        <v>346</v>
      </c>
      <c r="I2000" s="42">
        <v>746.99</v>
      </c>
      <c r="J2000" s="42"/>
      <c r="K2000" s="42"/>
      <c r="L2000" s="42">
        <v>746.99</v>
      </c>
      <c r="N2000" s="42"/>
    </row>
    <row r="2001" spans="1:14" x14ac:dyDescent="0.25">
      <c r="A2001" s="1">
        <v>46084</v>
      </c>
      <c r="B2001">
        <v>1</v>
      </c>
      <c r="C2001" t="s">
        <v>541</v>
      </c>
      <c r="D2001" t="s">
        <v>10</v>
      </c>
      <c r="E2001" t="s">
        <v>475</v>
      </c>
      <c r="F2001" t="s">
        <v>37</v>
      </c>
      <c r="G2001" t="s">
        <v>467</v>
      </c>
      <c r="I2001" s="42">
        <v>746.99</v>
      </c>
      <c r="J2001" s="42"/>
      <c r="K2001" s="42"/>
      <c r="L2001" s="42">
        <v>746.99</v>
      </c>
      <c r="N2001" s="42">
        <v>746.99</v>
      </c>
    </row>
    <row r="2002" spans="1:14" x14ac:dyDescent="0.25">
      <c r="A2002" s="1">
        <v>46084</v>
      </c>
      <c r="B2002">
        <v>1</v>
      </c>
      <c r="C2002" t="s">
        <v>541</v>
      </c>
      <c r="D2002" t="s">
        <v>336</v>
      </c>
      <c r="E2002" t="s">
        <v>476</v>
      </c>
      <c r="F2002" t="s">
        <v>158</v>
      </c>
      <c r="G2002" t="s">
        <v>346</v>
      </c>
      <c r="I2002" s="42">
        <v>746.99</v>
      </c>
      <c r="J2002" s="42"/>
      <c r="K2002" s="42">
        <v>746.99</v>
      </c>
      <c r="L2002" s="42">
        <v>0</v>
      </c>
      <c r="N2002" s="42"/>
    </row>
    <row r="2003" spans="1:14" x14ac:dyDescent="0.25">
      <c r="A2003" s="1">
        <v>46084</v>
      </c>
      <c r="B2003">
        <v>1</v>
      </c>
      <c r="C2003" t="s">
        <v>541</v>
      </c>
      <c r="D2003" t="s">
        <v>10</v>
      </c>
      <c r="E2003" t="s">
        <v>511</v>
      </c>
      <c r="F2003" t="s">
        <v>512</v>
      </c>
      <c r="G2003" t="s">
        <v>346</v>
      </c>
      <c r="I2003" s="42">
        <v>746.99</v>
      </c>
      <c r="J2003" s="42">
        <v>30.01</v>
      </c>
      <c r="K2003" s="42"/>
      <c r="L2003" s="42">
        <v>777</v>
      </c>
      <c r="N2003" s="42">
        <v>777</v>
      </c>
    </row>
    <row r="2004" spans="1:14" x14ac:dyDescent="0.25">
      <c r="A2004" s="1">
        <v>46084</v>
      </c>
      <c r="B2004">
        <v>1</v>
      </c>
      <c r="C2004" t="s">
        <v>541</v>
      </c>
      <c r="D2004" t="s">
        <v>10</v>
      </c>
      <c r="E2004" t="s">
        <v>479</v>
      </c>
      <c r="F2004" t="s">
        <v>41</v>
      </c>
      <c r="G2004" t="s">
        <v>398</v>
      </c>
      <c r="I2004" s="42">
        <v>746.99</v>
      </c>
      <c r="J2004" s="42">
        <v>120</v>
      </c>
      <c r="K2004" s="42"/>
      <c r="L2004" s="42">
        <v>866.99</v>
      </c>
      <c r="N2004" s="42">
        <v>866.99</v>
      </c>
    </row>
    <row r="2005" spans="1:14" x14ac:dyDescent="0.25">
      <c r="A2005" s="1">
        <v>46084</v>
      </c>
      <c r="B2005">
        <v>1</v>
      </c>
      <c r="C2005" t="s">
        <v>541</v>
      </c>
      <c r="D2005" t="s">
        <v>10</v>
      </c>
      <c r="E2005" t="s">
        <v>711</v>
      </c>
      <c r="F2005" t="s">
        <v>383</v>
      </c>
      <c r="G2005" t="s">
        <v>370</v>
      </c>
      <c r="I2005" s="42">
        <v>991.99</v>
      </c>
      <c r="J2005" s="42"/>
      <c r="K2005" s="42"/>
      <c r="L2005" s="42">
        <v>1486.99</v>
      </c>
      <c r="N2005" s="42">
        <v>991.99</v>
      </c>
    </row>
    <row r="2006" spans="1:14" x14ac:dyDescent="0.25">
      <c r="A2006" s="1">
        <v>46084</v>
      </c>
      <c r="B2006">
        <v>1</v>
      </c>
      <c r="C2006" t="s">
        <v>541</v>
      </c>
      <c r="D2006" t="s">
        <v>10</v>
      </c>
      <c r="E2006" t="s">
        <v>712</v>
      </c>
      <c r="F2006" t="s">
        <v>383</v>
      </c>
      <c r="G2006" t="s">
        <v>370</v>
      </c>
      <c r="I2006" s="42">
        <v>991.99</v>
      </c>
      <c r="J2006" s="42"/>
      <c r="K2006" s="42"/>
      <c r="L2006" s="42">
        <v>991.99</v>
      </c>
      <c r="N2006" s="42">
        <v>991.99</v>
      </c>
    </row>
    <row r="2007" spans="1:14" x14ac:dyDescent="0.25">
      <c r="A2007" s="1">
        <v>46084</v>
      </c>
      <c r="B2007">
        <v>1</v>
      </c>
      <c r="C2007" t="s">
        <v>541</v>
      </c>
      <c r="D2007" t="s">
        <v>10</v>
      </c>
      <c r="E2007" t="s">
        <v>421</v>
      </c>
      <c r="F2007" t="s">
        <v>422</v>
      </c>
      <c r="G2007" t="s">
        <v>346</v>
      </c>
      <c r="I2007" s="42">
        <v>1251.99</v>
      </c>
      <c r="J2007" s="42"/>
      <c r="K2007" s="42"/>
      <c r="L2007" s="42">
        <v>1251.99</v>
      </c>
      <c r="N2007" s="42"/>
    </row>
    <row r="2008" spans="1:14" x14ac:dyDescent="0.25">
      <c r="A2008" s="1">
        <v>46084</v>
      </c>
      <c r="B2008">
        <v>1</v>
      </c>
      <c r="C2008" t="s">
        <v>541</v>
      </c>
      <c r="D2008" t="s">
        <v>10</v>
      </c>
      <c r="E2008" t="s">
        <v>536</v>
      </c>
      <c r="F2008" t="s">
        <v>52</v>
      </c>
      <c r="G2008" t="s">
        <v>359</v>
      </c>
      <c r="I2008" s="42">
        <v>1251.99</v>
      </c>
      <c r="J2008" s="42"/>
      <c r="K2008" s="42"/>
      <c r="L2008" s="42">
        <v>1746.99</v>
      </c>
      <c r="M2008" s="37">
        <v>1723.81</v>
      </c>
      <c r="N2008" s="42">
        <v>1251.99</v>
      </c>
    </row>
    <row r="2009" spans="1:14" x14ac:dyDescent="0.25">
      <c r="A2009" s="1">
        <v>46084</v>
      </c>
      <c r="B2009">
        <v>1</v>
      </c>
      <c r="C2009" t="s">
        <v>541</v>
      </c>
      <c r="D2009" t="s">
        <v>10</v>
      </c>
      <c r="E2009" t="s">
        <v>516</v>
      </c>
      <c r="F2009" t="s">
        <v>517</v>
      </c>
      <c r="G2009" t="s">
        <v>349</v>
      </c>
      <c r="I2009" s="42">
        <v>801.99</v>
      </c>
      <c r="J2009" s="42"/>
      <c r="K2009" s="42"/>
      <c r="L2009" s="42">
        <v>801.99</v>
      </c>
      <c r="N2009" s="42"/>
    </row>
    <row r="2010" spans="1:14" x14ac:dyDescent="0.25">
      <c r="A2010" s="1">
        <v>46084</v>
      </c>
      <c r="B2010">
        <v>1</v>
      </c>
      <c r="C2010" t="s">
        <v>541</v>
      </c>
      <c r="D2010" t="s">
        <v>10</v>
      </c>
      <c r="E2010" t="s">
        <v>390</v>
      </c>
      <c r="F2010" t="s">
        <v>12</v>
      </c>
      <c r="G2010" t="s">
        <v>346</v>
      </c>
      <c r="I2010" s="42">
        <v>746.99</v>
      </c>
      <c r="J2010" s="42"/>
      <c r="K2010" s="42"/>
      <c r="L2010" s="42">
        <v>746.99</v>
      </c>
      <c r="N2010" s="42">
        <v>746.99</v>
      </c>
    </row>
    <row r="2011" spans="1:14" x14ac:dyDescent="0.25">
      <c r="A2011" s="1">
        <v>46084</v>
      </c>
      <c r="B2011">
        <v>1</v>
      </c>
      <c r="C2011" t="s">
        <v>541</v>
      </c>
      <c r="D2011" t="s">
        <v>10</v>
      </c>
      <c r="E2011" t="s">
        <v>507</v>
      </c>
      <c r="F2011" t="s">
        <v>403</v>
      </c>
      <c r="G2011" t="s">
        <v>346</v>
      </c>
      <c r="I2011" s="42">
        <v>1001.99</v>
      </c>
      <c r="J2011" s="42"/>
      <c r="K2011" s="42"/>
      <c r="L2011" s="42">
        <v>1001.99</v>
      </c>
      <c r="N2011" s="42">
        <v>1001.99</v>
      </c>
    </row>
    <row r="2012" spans="1:14" x14ac:dyDescent="0.25">
      <c r="A2012" s="1">
        <v>46084</v>
      </c>
      <c r="B2012">
        <v>1</v>
      </c>
      <c r="C2012" t="s">
        <v>541</v>
      </c>
      <c r="D2012" t="s">
        <v>10</v>
      </c>
      <c r="E2012" t="s">
        <v>504</v>
      </c>
      <c r="F2012" t="s">
        <v>37</v>
      </c>
      <c r="G2012" t="s">
        <v>420</v>
      </c>
      <c r="I2012" s="42">
        <v>746.99</v>
      </c>
      <c r="J2012" s="42"/>
      <c r="K2012" s="42"/>
      <c r="L2012" s="42">
        <v>746.99</v>
      </c>
      <c r="N2012" s="42">
        <v>746.99</v>
      </c>
    </row>
    <row r="2013" spans="1:14" x14ac:dyDescent="0.25">
      <c r="A2013" s="1">
        <v>46084</v>
      </c>
      <c r="B2013">
        <v>1</v>
      </c>
      <c r="C2013" t="s">
        <v>541</v>
      </c>
      <c r="D2013" t="s">
        <v>10</v>
      </c>
      <c r="E2013" t="s">
        <v>716</v>
      </c>
      <c r="F2013" t="s">
        <v>94</v>
      </c>
      <c r="G2013" t="s">
        <v>462</v>
      </c>
      <c r="I2013" s="42">
        <v>746.99</v>
      </c>
      <c r="J2013" s="42"/>
      <c r="K2013" s="42">
        <v>4.99</v>
      </c>
      <c r="L2013" s="42">
        <v>742</v>
      </c>
      <c r="N2013" s="42">
        <v>742</v>
      </c>
    </row>
    <row r="2014" spans="1:14" x14ac:dyDescent="0.25">
      <c r="A2014" s="1">
        <v>46084</v>
      </c>
      <c r="B2014">
        <v>1</v>
      </c>
      <c r="C2014" t="s">
        <v>541</v>
      </c>
      <c r="D2014" t="s">
        <v>10</v>
      </c>
      <c r="E2014" t="s">
        <v>518</v>
      </c>
      <c r="F2014" t="s">
        <v>385</v>
      </c>
      <c r="G2014" t="s">
        <v>349</v>
      </c>
      <c r="I2014" s="42">
        <v>801.99</v>
      </c>
      <c r="J2014" s="42"/>
      <c r="K2014" s="42"/>
      <c r="L2014" s="42">
        <v>801.99</v>
      </c>
      <c r="N2014" s="42">
        <v>801.99</v>
      </c>
    </row>
    <row r="2015" spans="1:14" x14ac:dyDescent="0.25">
      <c r="A2015" s="1">
        <v>46084</v>
      </c>
      <c r="B2015">
        <v>1</v>
      </c>
      <c r="C2015" t="s">
        <v>541</v>
      </c>
      <c r="D2015" t="s">
        <v>10</v>
      </c>
      <c r="E2015" t="s">
        <v>717</v>
      </c>
      <c r="F2015" t="s">
        <v>718</v>
      </c>
      <c r="G2015" t="s">
        <v>462</v>
      </c>
      <c r="I2015" s="42">
        <v>1601.99</v>
      </c>
      <c r="J2015" s="42"/>
      <c r="K2015" s="42">
        <v>1.99</v>
      </c>
      <c r="L2015" s="42">
        <v>1600</v>
      </c>
      <c r="N2015" s="42">
        <v>1600</v>
      </c>
    </row>
    <row r="2016" spans="1:14" x14ac:dyDescent="0.25">
      <c r="A2016" s="1">
        <v>46084</v>
      </c>
      <c r="B2016">
        <v>1</v>
      </c>
      <c r="C2016" t="s">
        <v>541</v>
      </c>
      <c r="D2016" t="s">
        <v>10</v>
      </c>
      <c r="E2016" t="s">
        <v>412</v>
      </c>
      <c r="F2016" t="s">
        <v>403</v>
      </c>
      <c r="G2016" t="s">
        <v>346</v>
      </c>
      <c r="I2016" s="42">
        <v>1001.99</v>
      </c>
      <c r="J2016" s="42"/>
      <c r="K2016" s="42"/>
      <c r="L2016" s="42">
        <v>1496.99</v>
      </c>
      <c r="N2016" s="42">
        <v>1001.99</v>
      </c>
    </row>
    <row r="2017" spans="1:14" x14ac:dyDescent="0.25">
      <c r="A2017" s="1">
        <v>46084</v>
      </c>
      <c r="B2017">
        <v>1</v>
      </c>
      <c r="C2017" t="s">
        <v>541</v>
      </c>
      <c r="D2017" t="s">
        <v>10</v>
      </c>
      <c r="E2017" t="s">
        <v>501</v>
      </c>
      <c r="F2017" t="s">
        <v>12</v>
      </c>
      <c r="G2017" t="s">
        <v>346</v>
      </c>
      <c r="I2017" s="42">
        <v>746.99</v>
      </c>
      <c r="J2017" s="42"/>
      <c r="K2017" s="42"/>
      <c r="L2017" s="42">
        <v>1070.99</v>
      </c>
      <c r="N2017" s="42">
        <v>746.99</v>
      </c>
    </row>
    <row r="2018" spans="1:14" x14ac:dyDescent="0.25">
      <c r="A2018" s="1">
        <v>46084</v>
      </c>
      <c r="B2018">
        <v>1</v>
      </c>
      <c r="C2018" t="s">
        <v>541</v>
      </c>
      <c r="D2018" t="s">
        <v>10</v>
      </c>
      <c r="E2018" t="s">
        <v>489</v>
      </c>
      <c r="F2018" t="s">
        <v>52</v>
      </c>
      <c r="G2018" t="s">
        <v>346</v>
      </c>
      <c r="I2018" s="42">
        <v>1251.99</v>
      </c>
      <c r="J2018" s="42"/>
      <c r="K2018" s="42"/>
      <c r="L2018" s="42">
        <v>1746.99</v>
      </c>
      <c r="N2018" s="42">
        <v>1251.99</v>
      </c>
    </row>
    <row r="2019" spans="1:14" x14ac:dyDescent="0.25">
      <c r="A2019" s="1">
        <v>46084</v>
      </c>
      <c r="B2019">
        <v>1</v>
      </c>
      <c r="C2019" t="s">
        <v>542</v>
      </c>
      <c r="D2019" t="s">
        <v>89</v>
      </c>
      <c r="E2019" t="s">
        <v>347</v>
      </c>
      <c r="F2019" t="s">
        <v>348</v>
      </c>
      <c r="G2019" t="s">
        <v>349</v>
      </c>
      <c r="I2019" s="42">
        <v>801.99</v>
      </c>
      <c r="J2019" s="42"/>
      <c r="K2019" s="42"/>
      <c r="L2019" s="42">
        <v>801.99</v>
      </c>
      <c r="N2019" s="42"/>
    </row>
    <row r="2020" spans="1:14" x14ac:dyDescent="0.25">
      <c r="A2020" s="1">
        <v>46084</v>
      </c>
      <c r="B2020">
        <v>1</v>
      </c>
      <c r="C2020" t="s">
        <v>541</v>
      </c>
      <c r="D2020" t="s">
        <v>10</v>
      </c>
      <c r="E2020" t="s">
        <v>357</v>
      </c>
      <c r="F2020" t="s">
        <v>55</v>
      </c>
      <c r="G2020" t="s">
        <v>346</v>
      </c>
      <c r="I2020" s="42">
        <v>746.99</v>
      </c>
      <c r="J2020" s="42"/>
      <c r="K2020" s="42">
        <v>426.86</v>
      </c>
      <c r="L2020" s="42">
        <v>320.13</v>
      </c>
      <c r="N2020" s="42">
        <v>320.13</v>
      </c>
    </row>
    <row r="2021" spans="1:14" x14ac:dyDescent="0.25">
      <c r="A2021" s="1">
        <v>46084</v>
      </c>
      <c r="B2021">
        <v>1</v>
      </c>
      <c r="C2021" t="s">
        <v>541</v>
      </c>
      <c r="D2021" t="s">
        <v>10</v>
      </c>
      <c r="E2021" t="s">
        <v>440</v>
      </c>
      <c r="F2021" t="s">
        <v>411</v>
      </c>
      <c r="G2021" t="s">
        <v>346</v>
      </c>
      <c r="I2021" s="42">
        <v>1251.99</v>
      </c>
      <c r="J2021" s="42"/>
      <c r="K2021" s="42"/>
      <c r="L2021" s="42">
        <v>1746.99</v>
      </c>
      <c r="N2021" s="42">
        <v>1251.99</v>
      </c>
    </row>
    <row r="2022" spans="1:14" x14ac:dyDescent="0.25">
      <c r="A2022" s="1">
        <v>46084</v>
      </c>
      <c r="B2022">
        <v>1</v>
      </c>
      <c r="C2022" t="s">
        <v>541</v>
      </c>
      <c r="D2022" t="s">
        <v>10</v>
      </c>
      <c r="E2022" t="s">
        <v>427</v>
      </c>
      <c r="F2022" t="s">
        <v>116</v>
      </c>
      <c r="G2022" t="s">
        <v>363</v>
      </c>
      <c r="I2022" s="42">
        <v>746.99</v>
      </c>
      <c r="J2022" s="42"/>
      <c r="K2022" s="42"/>
      <c r="L2022" s="42">
        <v>1241.99</v>
      </c>
      <c r="N2022" s="42">
        <v>746.99</v>
      </c>
    </row>
    <row r="2023" spans="1:14" x14ac:dyDescent="0.25">
      <c r="A2023" s="1">
        <v>46084</v>
      </c>
      <c r="B2023">
        <v>1</v>
      </c>
      <c r="C2023" t="s">
        <v>542</v>
      </c>
      <c r="D2023" t="s">
        <v>89</v>
      </c>
      <c r="E2023" t="s">
        <v>377</v>
      </c>
      <c r="F2023" t="s">
        <v>158</v>
      </c>
      <c r="G2023" t="s">
        <v>378</v>
      </c>
      <c r="I2023" s="42">
        <v>746.99</v>
      </c>
      <c r="J2023" s="42"/>
      <c r="K2023" s="42"/>
      <c r="L2023" s="42">
        <v>746.99</v>
      </c>
      <c r="N2023" s="42"/>
    </row>
    <row r="2024" spans="1:14" x14ac:dyDescent="0.25">
      <c r="A2024" s="1">
        <v>46084</v>
      </c>
      <c r="B2024">
        <v>1</v>
      </c>
      <c r="C2024" t="s">
        <v>541</v>
      </c>
      <c r="D2024" t="s">
        <v>10</v>
      </c>
      <c r="E2024" t="s">
        <v>538</v>
      </c>
      <c r="F2024" t="s">
        <v>178</v>
      </c>
      <c r="G2024" t="s">
        <v>409</v>
      </c>
      <c r="I2024" s="42">
        <v>801.99</v>
      </c>
      <c r="J2024" s="42"/>
      <c r="K2024" s="42"/>
      <c r="L2024" s="42">
        <v>940</v>
      </c>
      <c r="N2024" s="42">
        <v>801.99</v>
      </c>
    </row>
    <row r="2025" spans="1:14" x14ac:dyDescent="0.25">
      <c r="A2025" s="1">
        <v>46084</v>
      </c>
      <c r="B2025">
        <v>1</v>
      </c>
      <c r="C2025" t="s">
        <v>541</v>
      </c>
      <c r="D2025" t="s">
        <v>10</v>
      </c>
      <c r="E2025" t="s">
        <v>429</v>
      </c>
      <c r="F2025" t="s">
        <v>158</v>
      </c>
      <c r="G2025" t="s">
        <v>346</v>
      </c>
      <c r="I2025" s="42">
        <v>746.99</v>
      </c>
      <c r="J2025" s="42"/>
      <c r="K2025" s="42"/>
      <c r="L2025" s="42">
        <v>1241.99</v>
      </c>
      <c r="N2025" s="42">
        <v>746.99</v>
      </c>
    </row>
    <row r="2026" spans="1:14" x14ac:dyDescent="0.25">
      <c r="A2026" s="1">
        <v>46084</v>
      </c>
      <c r="B2026">
        <v>1</v>
      </c>
      <c r="C2026" t="s">
        <v>542</v>
      </c>
      <c r="D2026" t="s">
        <v>336</v>
      </c>
      <c r="E2026" t="s">
        <v>449</v>
      </c>
      <c r="F2026" t="s">
        <v>41</v>
      </c>
      <c r="G2026" t="s">
        <v>349</v>
      </c>
      <c r="I2026" s="42">
        <v>746.99</v>
      </c>
      <c r="J2026" s="42"/>
      <c r="K2026" s="42"/>
      <c r="L2026" s="42">
        <v>746.99</v>
      </c>
      <c r="N2026" s="42"/>
    </row>
    <row r="2027" spans="1:14" x14ac:dyDescent="0.25">
      <c r="A2027" s="1">
        <v>46084</v>
      </c>
      <c r="B2027">
        <v>1</v>
      </c>
      <c r="C2027" t="s">
        <v>542</v>
      </c>
      <c r="D2027" t="s">
        <v>706</v>
      </c>
      <c r="E2027" t="s">
        <v>454</v>
      </c>
      <c r="F2027" t="s">
        <v>455</v>
      </c>
      <c r="G2027" t="s">
        <v>349</v>
      </c>
      <c r="I2027" s="42">
        <v>831.99</v>
      </c>
      <c r="J2027" s="42"/>
      <c r="K2027" s="42"/>
      <c r="L2027" s="42">
        <v>831.99</v>
      </c>
      <c r="N2027" s="42"/>
    </row>
    <row r="2028" spans="1:14" x14ac:dyDescent="0.25">
      <c r="A2028" s="1">
        <v>46084</v>
      </c>
      <c r="B2028">
        <v>1</v>
      </c>
      <c r="C2028" t="s">
        <v>541</v>
      </c>
      <c r="D2028" t="s">
        <v>10</v>
      </c>
      <c r="E2028" t="s">
        <v>477</v>
      </c>
      <c r="F2028" t="s">
        <v>230</v>
      </c>
      <c r="G2028" t="s">
        <v>346</v>
      </c>
      <c r="I2028" s="42">
        <v>746.99</v>
      </c>
      <c r="J2028" s="42"/>
      <c r="K2028" s="42"/>
      <c r="L2028" s="42">
        <v>1241.99</v>
      </c>
      <c r="N2028" s="42">
        <v>746.99</v>
      </c>
    </row>
    <row r="2029" spans="1:14" x14ac:dyDescent="0.25">
      <c r="A2029" s="1">
        <v>46084</v>
      </c>
      <c r="B2029">
        <v>1</v>
      </c>
      <c r="C2029" t="s">
        <v>542</v>
      </c>
      <c r="D2029" t="s">
        <v>99</v>
      </c>
      <c r="E2029" t="s">
        <v>486</v>
      </c>
      <c r="F2029" t="s">
        <v>52</v>
      </c>
      <c r="G2029" t="s">
        <v>346</v>
      </c>
      <c r="I2029" s="42">
        <v>1251.99</v>
      </c>
      <c r="J2029" s="42"/>
      <c r="K2029" s="42"/>
      <c r="L2029" s="42">
        <v>1251.99</v>
      </c>
      <c r="N2029" s="42"/>
    </row>
    <row r="2030" spans="1:14" x14ac:dyDescent="0.25">
      <c r="A2030" s="1">
        <v>46084</v>
      </c>
      <c r="B2030">
        <v>1</v>
      </c>
      <c r="C2030" t="s">
        <v>542</v>
      </c>
      <c r="D2030" t="s">
        <v>99</v>
      </c>
      <c r="E2030" t="s">
        <v>519</v>
      </c>
      <c r="F2030" t="s">
        <v>520</v>
      </c>
      <c r="G2030" t="s">
        <v>349</v>
      </c>
      <c r="I2030" s="42">
        <v>746.99</v>
      </c>
      <c r="J2030" s="42"/>
      <c r="K2030" s="42"/>
      <c r="L2030" s="42">
        <v>746.99</v>
      </c>
      <c r="N2030" s="42"/>
    </row>
    <row r="2031" spans="1:14" x14ac:dyDescent="0.25">
      <c r="A2031" s="1">
        <v>46084</v>
      </c>
      <c r="B2031">
        <v>1</v>
      </c>
      <c r="C2031" t="s">
        <v>542</v>
      </c>
      <c r="D2031" t="s">
        <v>99</v>
      </c>
      <c r="E2031" t="s">
        <v>431</v>
      </c>
      <c r="F2031" t="s">
        <v>230</v>
      </c>
      <c r="G2031" t="s">
        <v>346</v>
      </c>
      <c r="I2031" s="42">
        <v>746.99</v>
      </c>
      <c r="J2031" s="42"/>
      <c r="K2031" s="42"/>
      <c r="L2031" s="42">
        <v>746.99</v>
      </c>
      <c r="N2031" s="42"/>
    </row>
    <row r="2032" spans="1:14" x14ac:dyDescent="0.25">
      <c r="A2032" s="1">
        <v>46084</v>
      </c>
      <c r="B2032">
        <v>1</v>
      </c>
      <c r="C2032" t="s">
        <v>541</v>
      </c>
      <c r="D2032" t="s">
        <v>10</v>
      </c>
      <c r="E2032" t="s">
        <v>495</v>
      </c>
      <c r="F2032" t="s">
        <v>33</v>
      </c>
      <c r="G2032" t="s">
        <v>349</v>
      </c>
      <c r="I2032" s="42">
        <v>901.99</v>
      </c>
      <c r="J2032" s="42"/>
      <c r="K2032" s="42"/>
      <c r="L2032" s="42">
        <v>1396.99</v>
      </c>
      <c r="N2032" s="42">
        <v>901.99</v>
      </c>
    </row>
    <row r="2033" spans="1:14" x14ac:dyDescent="0.25">
      <c r="A2033" s="1">
        <v>46084</v>
      </c>
      <c r="B2033">
        <v>1</v>
      </c>
      <c r="C2033" t="s">
        <v>542</v>
      </c>
      <c r="D2033" t="s">
        <v>336</v>
      </c>
      <c r="E2033" t="s">
        <v>367</v>
      </c>
      <c r="F2033" t="s">
        <v>52</v>
      </c>
      <c r="G2033" t="s">
        <v>346</v>
      </c>
      <c r="I2033" s="42">
        <v>1251.99</v>
      </c>
      <c r="J2033" s="42"/>
      <c r="K2033" s="42"/>
      <c r="L2033" s="42">
        <v>1251.99</v>
      </c>
      <c r="N2033" s="42"/>
    </row>
    <row r="2034" spans="1:14" x14ac:dyDescent="0.25">
      <c r="A2034" s="1">
        <v>46084</v>
      </c>
      <c r="B2034">
        <v>1</v>
      </c>
      <c r="C2034" t="s">
        <v>541</v>
      </c>
      <c r="D2034" t="s">
        <v>10</v>
      </c>
      <c r="E2034" t="s">
        <v>527</v>
      </c>
      <c r="F2034" t="s">
        <v>158</v>
      </c>
      <c r="G2034" t="s">
        <v>346</v>
      </c>
      <c r="I2034" s="42">
        <v>746.99</v>
      </c>
      <c r="J2034" s="42"/>
      <c r="K2034" s="42">
        <v>220.86</v>
      </c>
      <c r="L2034" s="42">
        <v>526.13</v>
      </c>
      <c r="N2034" s="42">
        <v>526.13</v>
      </c>
    </row>
    <row r="2035" spans="1:14" x14ac:dyDescent="0.25">
      <c r="A2035" s="1">
        <v>46084</v>
      </c>
      <c r="B2035">
        <v>1</v>
      </c>
      <c r="C2035" t="s">
        <v>542</v>
      </c>
      <c r="D2035" t="s">
        <v>336</v>
      </c>
      <c r="E2035" t="s">
        <v>528</v>
      </c>
      <c r="F2035" t="s">
        <v>158</v>
      </c>
      <c r="G2035" t="s">
        <v>346</v>
      </c>
      <c r="I2035" s="42">
        <v>746.99</v>
      </c>
      <c r="J2035" s="42"/>
      <c r="K2035" s="42"/>
      <c r="L2035" s="42">
        <v>746.99</v>
      </c>
      <c r="N2035" s="42"/>
    </row>
    <row r="2036" spans="1:14" x14ac:dyDescent="0.25">
      <c r="A2036" s="1">
        <v>46084</v>
      </c>
      <c r="B2036">
        <v>1</v>
      </c>
      <c r="C2036" t="s">
        <v>542</v>
      </c>
      <c r="D2036" t="s">
        <v>336</v>
      </c>
      <c r="E2036" t="s">
        <v>530</v>
      </c>
      <c r="F2036" t="s">
        <v>52</v>
      </c>
      <c r="G2036" t="s">
        <v>515</v>
      </c>
      <c r="I2036" s="42">
        <v>1251.99</v>
      </c>
      <c r="J2036" s="42"/>
      <c r="K2036" s="42"/>
      <c r="L2036" s="42">
        <v>1251.99</v>
      </c>
      <c r="N2036" s="42"/>
    </row>
    <row r="2037" spans="1:14" x14ac:dyDescent="0.25">
      <c r="A2037" s="1">
        <v>46084</v>
      </c>
      <c r="B2037">
        <v>1</v>
      </c>
      <c r="C2037" t="s">
        <v>541</v>
      </c>
      <c r="D2037" t="s">
        <v>10</v>
      </c>
      <c r="E2037" t="s">
        <v>720</v>
      </c>
      <c r="F2037" t="s">
        <v>28</v>
      </c>
      <c r="G2037" t="s">
        <v>721</v>
      </c>
      <c r="I2037" s="42">
        <v>991.99</v>
      </c>
      <c r="J2037" s="42"/>
      <c r="K2037" s="42">
        <v>65</v>
      </c>
      <c r="L2037" s="42">
        <v>926.99</v>
      </c>
      <c r="N2037" s="42">
        <v>926.99</v>
      </c>
    </row>
    <row r="2038" spans="1:14" x14ac:dyDescent="0.25">
      <c r="A2038" s="1">
        <v>46084</v>
      </c>
      <c r="B2038">
        <v>1</v>
      </c>
      <c r="C2038" t="s">
        <v>541</v>
      </c>
      <c r="D2038" t="s">
        <v>10</v>
      </c>
      <c r="E2038" t="s">
        <v>537</v>
      </c>
      <c r="F2038" t="s">
        <v>407</v>
      </c>
      <c r="G2038" t="s">
        <v>346</v>
      </c>
      <c r="I2038" s="42">
        <v>801.99</v>
      </c>
      <c r="J2038" s="42"/>
      <c r="K2038" s="42"/>
      <c r="L2038" s="42">
        <v>846.99</v>
      </c>
      <c r="N2038" s="42">
        <v>801.99</v>
      </c>
    </row>
    <row r="2039" spans="1:14" x14ac:dyDescent="0.25">
      <c r="A2039" s="1">
        <v>46084</v>
      </c>
      <c r="B2039">
        <v>1</v>
      </c>
      <c r="C2039" t="s">
        <v>541</v>
      </c>
      <c r="D2039" t="s">
        <v>10</v>
      </c>
      <c r="E2039" t="s">
        <v>51</v>
      </c>
      <c r="F2039" t="s">
        <v>52</v>
      </c>
      <c r="G2039" t="s">
        <v>13</v>
      </c>
      <c r="I2039" s="42">
        <v>1251.99</v>
      </c>
      <c r="J2039" s="42"/>
      <c r="K2039" s="42"/>
      <c r="L2039" s="42">
        <v>1251.99</v>
      </c>
      <c r="N2039" s="42">
        <v>1251.99</v>
      </c>
    </row>
    <row r="2040" spans="1:14" x14ac:dyDescent="0.25">
      <c r="A2040" s="1">
        <v>46084</v>
      </c>
      <c r="B2040">
        <v>1</v>
      </c>
      <c r="C2040" t="s">
        <v>541</v>
      </c>
      <c r="D2040" t="s">
        <v>10</v>
      </c>
      <c r="E2040" t="s">
        <v>305</v>
      </c>
      <c r="F2040" t="s">
        <v>41</v>
      </c>
      <c r="G2040" t="s">
        <v>111</v>
      </c>
      <c r="I2040" s="42">
        <v>746.99</v>
      </c>
      <c r="J2040" s="42"/>
      <c r="K2040" s="42"/>
      <c r="L2040" s="42">
        <v>746.99</v>
      </c>
      <c r="N2040" s="42">
        <v>746.99</v>
      </c>
    </row>
    <row r="2041" spans="1:14" x14ac:dyDescent="0.25">
      <c r="A2041" s="1">
        <v>46084</v>
      </c>
      <c r="B2041">
        <v>1</v>
      </c>
      <c r="C2041" t="s">
        <v>541</v>
      </c>
      <c r="D2041" t="s">
        <v>10</v>
      </c>
      <c r="E2041" t="s">
        <v>75</v>
      </c>
      <c r="F2041" t="s">
        <v>76</v>
      </c>
      <c r="G2041" t="s">
        <v>77</v>
      </c>
      <c r="I2041" s="42">
        <v>1451.99</v>
      </c>
      <c r="J2041" s="42"/>
      <c r="K2041" s="42"/>
      <c r="L2041" s="42">
        <v>1451.99</v>
      </c>
      <c r="N2041" s="42">
        <v>1451.99</v>
      </c>
    </row>
    <row r="2042" spans="1:14" x14ac:dyDescent="0.25">
      <c r="A2042" s="1">
        <v>46084</v>
      </c>
      <c r="B2042">
        <v>1</v>
      </c>
      <c r="C2042" t="s">
        <v>542</v>
      </c>
      <c r="D2042" t="s">
        <v>136</v>
      </c>
      <c r="E2042" t="s">
        <v>320</v>
      </c>
      <c r="F2042" t="s">
        <v>55</v>
      </c>
      <c r="G2042" t="s">
        <v>13</v>
      </c>
      <c r="I2042" s="42">
        <v>746.99</v>
      </c>
      <c r="J2042" s="42"/>
      <c r="K2042" s="42"/>
      <c r="L2042" s="42">
        <v>746.99</v>
      </c>
      <c r="N2042" s="42"/>
    </row>
    <row r="2043" spans="1:14" x14ac:dyDescent="0.25">
      <c r="A2043" s="1">
        <v>46084</v>
      </c>
      <c r="B2043">
        <v>1</v>
      </c>
      <c r="C2043" t="s">
        <v>541</v>
      </c>
      <c r="D2043" t="s">
        <v>10</v>
      </c>
      <c r="E2043" t="s">
        <v>11</v>
      </c>
      <c r="F2043" t="s">
        <v>12</v>
      </c>
      <c r="G2043" t="s">
        <v>13</v>
      </c>
      <c r="I2043" s="42">
        <v>746.99</v>
      </c>
      <c r="J2043" s="42"/>
      <c r="K2043" s="42">
        <v>1.99</v>
      </c>
      <c r="L2043" s="42">
        <v>745</v>
      </c>
      <c r="N2043" s="42">
        <v>745</v>
      </c>
    </row>
    <row r="2044" spans="1:14" x14ac:dyDescent="0.25">
      <c r="A2044" s="1">
        <v>46084</v>
      </c>
      <c r="B2044">
        <v>1</v>
      </c>
      <c r="C2044" t="s">
        <v>541</v>
      </c>
      <c r="D2044" t="s">
        <v>10</v>
      </c>
      <c r="E2044" t="s">
        <v>15</v>
      </c>
      <c r="F2044" t="s">
        <v>16</v>
      </c>
      <c r="G2044" t="s">
        <v>13</v>
      </c>
      <c r="I2044" s="42">
        <v>1251.99</v>
      </c>
      <c r="J2044" s="42">
        <v>30.01</v>
      </c>
      <c r="K2044" s="42"/>
      <c r="L2044" s="42">
        <v>1282</v>
      </c>
      <c r="N2044" s="42">
        <v>1282</v>
      </c>
    </row>
    <row r="2045" spans="1:14" x14ac:dyDescent="0.25">
      <c r="A2045" s="1">
        <v>46084</v>
      </c>
      <c r="B2045">
        <v>1</v>
      </c>
      <c r="C2045" t="s">
        <v>541</v>
      </c>
      <c r="D2045" t="s">
        <v>10</v>
      </c>
      <c r="E2045" t="s">
        <v>18</v>
      </c>
      <c r="F2045" t="s">
        <v>12</v>
      </c>
      <c r="G2045" t="s">
        <v>13</v>
      </c>
      <c r="I2045" s="42">
        <v>746.99</v>
      </c>
      <c r="J2045" s="42"/>
      <c r="K2045" s="42">
        <v>1.99</v>
      </c>
      <c r="L2045" s="42">
        <v>745</v>
      </c>
      <c r="N2045" s="42">
        <v>745</v>
      </c>
    </row>
    <row r="2046" spans="1:14" x14ac:dyDescent="0.25">
      <c r="A2046" s="1">
        <v>46084</v>
      </c>
      <c r="B2046">
        <v>1</v>
      </c>
      <c r="C2046" t="s">
        <v>541</v>
      </c>
      <c r="D2046" t="s">
        <v>10</v>
      </c>
      <c r="E2046" t="s">
        <v>20</v>
      </c>
      <c r="F2046" t="s">
        <v>21</v>
      </c>
      <c r="G2046" t="s">
        <v>22</v>
      </c>
      <c r="I2046" s="42">
        <v>651.99</v>
      </c>
      <c r="J2046" s="42">
        <v>30</v>
      </c>
      <c r="K2046" s="42"/>
      <c r="L2046" s="42">
        <v>681.99</v>
      </c>
      <c r="N2046" s="42">
        <v>200</v>
      </c>
    </row>
    <row r="2047" spans="1:14" x14ac:dyDescent="0.25">
      <c r="A2047" s="1">
        <v>46084</v>
      </c>
      <c r="B2047">
        <v>1</v>
      </c>
      <c r="C2047" t="s">
        <v>541</v>
      </c>
      <c r="D2047" t="s">
        <v>10</v>
      </c>
      <c r="E2047" t="s">
        <v>27</v>
      </c>
      <c r="F2047" t="s">
        <v>28</v>
      </c>
      <c r="G2047" t="s">
        <v>13</v>
      </c>
      <c r="I2047" s="42">
        <v>931.99</v>
      </c>
      <c r="J2047" s="42"/>
      <c r="K2047" s="42">
        <v>1.99</v>
      </c>
      <c r="L2047" s="42">
        <v>930</v>
      </c>
      <c r="N2047" s="42">
        <v>930</v>
      </c>
    </row>
    <row r="2048" spans="1:14" x14ac:dyDescent="0.25">
      <c r="A2048" s="1">
        <v>46084</v>
      </c>
      <c r="B2048">
        <v>1</v>
      </c>
      <c r="C2048" t="s">
        <v>541</v>
      </c>
      <c r="D2048" t="s">
        <v>10</v>
      </c>
      <c r="E2048" t="s">
        <v>30</v>
      </c>
      <c r="F2048" t="s">
        <v>28</v>
      </c>
      <c r="G2048" t="s">
        <v>13</v>
      </c>
      <c r="I2048" s="42">
        <v>931.99</v>
      </c>
      <c r="J2048" s="42"/>
      <c r="K2048" s="42"/>
      <c r="L2048" s="42">
        <v>1226.99</v>
      </c>
      <c r="N2048" s="42">
        <v>931.99</v>
      </c>
    </row>
    <row r="2049" spans="1:14" x14ac:dyDescent="0.25">
      <c r="A2049" s="1">
        <v>46084</v>
      </c>
      <c r="B2049">
        <v>1</v>
      </c>
      <c r="C2049" t="s">
        <v>541</v>
      </c>
      <c r="D2049" t="s">
        <v>10</v>
      </c>
      <c r="E2049" t="s">
        <v>32</v>
      </c>
      <c r="F2049" t="s">
        <v>33</v>
      </c>
      <c r="G2049" t="s">
        <v>13</v>
      </c>
      <c r="I2049" s="42">
        <v>851.99</v>
      </c>
      <c r="J2049" s="42"/>
      <c r="K2049" s="42"/>
      <c r="L2049" s="42">
        <v>851.99</v>
      </c>
      <c r="N2049" s="42">
        <v>851.99</v>
      </c>
    </row>
    <row r="2050" spans="1:14" x14ac:dyDescent="0.25">
      <c r="A2050" s="1">
        <v>46084</v>
      </c>
      <c r="B2050">
        <v>1</v>
      </c>
      <c r="C2050" t="s">
        <v>541</v>
      </c>
      <c r="D2050" t="s">
        <v>10</v>
      </c>
      <c r="E2050" t="s">
        <v>36</v>
      </c>
      <c r="F2050" t="s">
        <v>37</v>
      </c>
      <c r="G2050" t="s">
        <v>38</v>
      </c>
      <c r="I2050" s="42">
        <v>746.99</v>
      </c>
      <c r="J2050" s="42"/>
      <c r="K2050" s="42">
        <v>425.72</v>
      </c>
      <c r="L2050" s="42">
        <v>321.27</v>
      </c>
      <c r="N2050" s="42">
        <v>321.27</v>
      </c>
    </row>
    <row r="2051" spans="1:14" x14ac:dyDescent="0.25">
      <c r="A2051" s="1">
        <v>46084</v>
      </c>
      <c r="B2051">
        <v>1</v>
      </c>
      <c r="C2051" t="s">
        <v>541</v>
      </c>
      <c r="D2051" t="s">
        <v>10</v>
      </c>
      <c r="E2051" t="s">
        <v>40</v>
      </c>
      <c r="F2051" t="s">
        <v>41</v>
      </c>
      <c r="G2051" t="s">
        <v>42</v>
      </c>
      <c r="I2051" s="42">
        <v>746.99</v>
      </c>
      <c r="J2051" s="42"/>
      <c r="K2051" s="42">
        <v>1.99</v>
      </c>
      <c r="L2051" s="42">
        <v>745</v>
      </c>
      <c r="N2051" s="42">
        <v>745</v>
      </c>
    </row>
    <row r="2052" spans="1:14" x14ac:dyDescent="0.25">
      <c r="A2052" s="1">
        <v>46084</v>
      </c>
      <c r="B2052">
        <v>1</v>
      </c>
      <c r="C2052" t="s">
        <v>541</v>
      </c>
      <c r="D2052" t="s">
        <v>10</v>
      </c>
      <c r="E2052" t="s">
        <v>44</v>
      </c>
      <c r="F2052" t="s">
        <v>12</v>
      </c>
      <c r="G2052" t="s">
        <v>13</v>
      </c>
      <c r="I2052" s="42">
        <v>746.99</v>
      </c>
      <c r="J2052" s="42"/>
      <c r="K2052" s="42"/>
      <c r="L2052" s="42">
        <v>746.99</v>
      </c>
      <c r="N2052" s="42">
        <v>746.99</v>
      </c>
    </row>
    <row r="2053" spans="1:14" x14ac:dyDescent="0.25">
      <c r="A2053" s="1">
        <v>46084</v>
      </c>
      <c r="B2053">
        <v>1</v>
      </c>
      <c r="C2053" t="s">
        <v>541</v>
      </c>
      <c r="D2053" t="s">
        <v>10</v>
      </c>
      <c r="E2053" t="s">
        <v>54</v>
      </c>
      <c r="F2053" t="s">
        <v>55</v>
      </c>
      <c r="G2053" t="s">
        <v>56</v>
      </c>
      <c r="I2053" s="42">
        <v>746.99</v>
      </c>
      <c r="J2053" s="42">
        <v>60</v>
      </c>
      <c r="K2053" s="42"/>
      <c r="L2053" s="42">
        <v>806.99</v>
      </c>
      <c r="N2053" s="42">
        <v>806.99</v>
      </c>
    </row>
    <row r="2054" spans="1:14" x14ac:dyDescent="0.25">
      <c r="A2054" s="1">
        <v>46084</v>
      </c>
      <c r="B2054">
        <v>1</v>
      </c>
      <c r="C2054" t="s">
        <v>541</v>
      </c>
      <c r="D2054" t="s">
        <v>10</v>
      </c>
      <c r="E2054" t="s">
        <v>58</v>
      </c>
      <c r="F2054" t="s">
        <v>37</v>
      </c>
      <c r="G2054" t="s">
        <v>38</v>
      </c>
      <c r="I2054" s="42">
        <v>746.99</v>
      </c>
      <c r="J2054" s="42"/>
      <c r="K2054" s="42"/>
      <c r="L2054" s="42">
        <v>746.99</v>
      </c>
      <c r="N2054" s="42">
        <v>746.99</v>
      </c>
    </row>
    <row r="2055" spans="1:14" x14ac:dyDescent="0.25">
      <c r="A2055" s="1">
        <v>46084</v>
      </c>
      <c r="B2055">
        <v>1</v>
      </c>
      <c r="C2055" t="s">
        <v>541</v>
      </c>
      <c r="D2055" t="s">
        <v>10</v>
      </c>
      <c r="E2055" t="s">
        <v>60</v>
      </c>
      <c r="F2055" t="s">
        <v>52</v>
      </c>
      <c r="G2055" t="s">
        <v>38</v>
      </c>
      <c r="I2055" s="42">
        <v>1251.99</v>
      </c>
      <c r="J2055" s="42"/>
      <c r="K2055" s="42"/>
      <c r="L2055" s="42">
        <v>1251.99</v>
      </c>
      <c r="N2055" s="42">
        <v>1251.99</v>
      </c>
    </row>
    <row r="2056" spans="1:14" x14ac:dyDescent="0.25">
      <c r="A2056" s="1">
        <v>46084</v>
      </c>
      <c r="B2056">
        <v>1</v>
      </c>
      <c r="C2056" t="s">
        <v>541</v>
      </c>
      <c r="D2056" t="s">
        <v>10</v>
      </c>
      <c r="E2056" t="s">
        <v>62</v>
      </c>
      <c r="F2056" t="s">
        <v>12</v>
      </c>
      <c r="G2056" t="s">
        <v>13</v>
      </c>
      <c r="I2056" s="42">
        <v>746.99</v>
      </c>
      <c r="J2056" s="42"/>
      <c r="K2056" s="42"/>
      <c r="L2056" s="42">
        <v>746.99</v>
      </c>
      <c r="N2056" s="42">
        <v>746.99</v>
      </c>
    </row>
    <row r="2057" spans="1:14" x14ac:dyDescent="0.25">
      <c r="A2057" s="1">
        <v>46084</v>
      </c>
      <c r="B2057">
        <v>1</v>
      </c>
      <c r="C2057" t="s">
        <v>541</v>
      </c>
      <c r="D2057" t="s">
        <v>10</v>
      </c>
      <c r="E2057" t="s">
        <v>64</v>
      </c>
      <c r="F2057" t="s">
        <v>65</v>
      </c>
      <c r="G2057" t="s">
        <v>66</v>
      </c>
      <c r="I2057" s="42">
        <v>1381.99</v>
      </c>
      <c r="J2057" s="42">
        <v>30</v>
      </c>
      <c r="K2057" s="42"/>
      <c r="L2057" s="42">
        <v>1411.99</v>
      </c>
      <c r="N2057" s="42">
        <v>1411.99</v>
      </c>
    </row>
    <row r="2058" spans="1:14" x14ac:dyDescent="0.25">
      <c r="A2058" s="1">
        <v>46084</v>
      </c>
      <c r="B2058">
        <v>1</v>
      </c>
      <c r="C2058" t="s">
        <v>541</v>
      </c>
      <c r="D2058" t="s">
        <v>10</v>
      </c>
      <c r="E2058" t="s">
        <v>68</v>
      </c>
      <c r="F2058" t="s">
        <v>69</v>
      </c>
      <c r="G2058" t="s">
        <v>70</v>
      </c>
      <c r="I2058" s="42">
        <v>801.99</v>
      </c>
      <c r="J2058" s="42">
        <v>30.01</v>
      </c>
      <c r="K2058" s="42"/>
      <c r="L2058" s="42">
        <v>832</v>
      </c>
      <c r="N2058" s="42">
        <v>832</v>
      </c>
    </row>
    <row r="2059" spans="1:14" x14ac:dyDescent="0.25">
      <c r="A2059" s="1">
        <v>46084</v>
      </c>
      <c r="B2059">
        <v>1</v>
      </c>
      <c r="C2059" t="s">
        <v>541</v>
      </c>
      <c r="D2059" t="s">
        <v>10</v>
      </c>
      <c r="E2059" t="s">
        <v>72</v>
      </c>
      <c r="F2059" t="s">
        <v>73</v>
      </c>
      <c r="G2059" t="s">
        <v>13</v>
      </c>
      <c r="I2059" s="42">
        <v>1850</v>
      </c>
      <c r="J2059" s="42"/>
      <c r="K2059" s="42"/>
      <c r="L2059" s="42">
        <v>1850</v>
      </c>
      <c r="N2059" s="42">
        <v>1850</v>
      </c>
    </row>
    <row r="2060" spans="1:14" x14ac:dyDescent="0.25">
      <c r="A2060" s="1">
        <v>46084</v>
      </c>
      <c r="B2060">
        <v>1</v>
      </c>
      <c r="C2060" t="s">
        <v>541</v>
      </c>
      <c r="D2060" t="s">
        <v>10</v>
      </c>
      <c r="E2060" t="s">
        <v>79</v>
      </c>
      <c r="F2060" t="s">
        <v>76</v>
      </c>
      <c r="G2060" t="s">
        <v>77</v>
      </c>
      <c r="I2060" s="42">
        <v>1451.99</v>
      </c>
      <c r="J2060" s="42"/>
      <c r="K2060" s="42"/>
      <c r="L2060" s="42">
        <v>1451.99</v>
      </c>
      <c r="N2060" s="42">
        <v>1451.99</v>
      </c>
    </row>
    <row r="2061" spans="1:14" x14ac:dyDescent="0.25">
      <c r="A2061" s="1">
        <v>46084</v>
      </c>
      <c r="B2061">
        <v>1</v>
      </c>
      <c r="C2061" t="s">
        <v>541</v>
      </c>
      <c r="D2061" t="s">
        <v>10</v>
      </c>
      <c r="E2061" t="s">
        <v>46</v>
      </c>
      <c r="F2061" t="s">
        <v>12</v>
      </c>
      <c r="G2061" t="s">
        <v>13</v>
      </c>
      <c r="I2061" s="42">
        <v>746.99</v>
      </c>
      <c r="J2061" s="42">
        <v>0.01</v>
      </c>
      <c r="K2061" s="42"/>
      <c r="L2061" s="42">
        <v>747</v>
      </c>
      <c r="N2061" s="42">
        <v>747</v>
      </c>
    </row>
    <row r="2062" spans="1:14" x14ac:dyDescent="0.25">
      <c r="A2062" s="1">
        <v>46084</v>
      </c>
      <c r="B2062">
        <v>1</v>
      </c>
      <c r="C2062" t="s">
        <v>542</v>
      </c>
      <c r="D2062" t="s">
        <v>136</v>
      </c>
      <c r="E2062" t="s">
        <v>162</v>
      </c>
      <c r="F2062" t="s">
        <v>158</v>
      </c>
      <c r="G2062" t="s">
        <v>104</v>
      </c>
      <c r="I2062" s="42">
        <v>746.99</v>
      </c>
      <c r="J2062" s="42"/>
      <c r="K2062" s="42"/>
      <c r="L2062" s="42">
        <v>746.99</v>
      </c>
      <c r="N2062" s="42"/>
    </row>
    <row r="2063" spans="1:14" x14ac:dyDescent="0.25">
      <c r="A2063" s="1">
        <v>46084</v>
      </c>
      <c r="B2063">
        <v>1</v>
      </c>
      <c r="C2063" t="s">
        <v>541</v>
      </c>
      <c r="D2063" t="s">
        <v>336</v>
      </c>
      <c r="E2063" t="s">
        <v>288</v>
      </c>
      <c r="F2063" t="s">
        <v>55</v>
      </c>
      <c r="G2063" t="s">
        <v>104</v>
      </c>
      <c r="I2063" s="42">
        <v>746.99</v>
      </c>
      <c r="J2063" s="42"/>
      <c r="K2063" s="42"/>
      <c r="L2063" s="42">
        <v>746.99</v>
      </c>
      <c r="N2063" s="42"/>
    </row>
    <row r="2064" spans="1:14" x14ac:dyDescent="0.25">
      <c r="A2064" s="1">
        <v>46084</v>
      </c>
      <c r="B2064">
        <v>1</v>
      </c>
      <c r="C2064" t="s">
        <v>541</v>
      </c>
      <c r="D2064" t="s">
        <v>10</v>
      </c>
      <c r="E2064" t="s">
        <v>300</v>
      </c>
      <c r="F2064" t="s">
        <v>301</v>
      </c>
      <c r="G2064" t="s">
        <v>104</v>
      </c>
      <c r="I2064" s="42">
        <v>746.99</v>
      </c>
      <c r="J2064" s="42"/>
      <c r="K2064" s="42"/>
      <c r="L2064" s="42">
        <v>1241.99</v>
      </c>
      <c r="N2064" s="42">
        <v>746.99</v>
      </c>
    </row>
    <row r="2065" spans="1:14" x14ac:dyDescent="0.25">
      <c r="A2065" s="1">
        <v>46084</v>
      </c>
      <c r="B2065">
        <v>1</v>
      </c>
      <c r="C2065" t="s">
        <v>541</v>
      </c>
      <c r="D2065" t="s">
        <v>10</v>
      </c>
      <c r="E2065" t="s">
        <v>327</v>
      </c>
      <c r="F2065" t="s">
        <v>158</v>
      </c>
      <c r="G2065" t="s">
        <v>22</v>
      </c>
      <c r="I2065" s="42">
        <v>746.99</v>
      </c>
      <c r="J2065" s="42"/>
      <c r="K2065" s="42"/>
      <c r="L2065" s="42">
        <v>746.99</v>
      </c>
      <c r="N2065" s="42">
        <v>746.99</v>
      </c>
    </row>
    <row r="2066" spans="1:14" x14ac:dyDescent="0.25">
      <c r="A2066" s="1">
        <v>46084</v>
      </c>
      <c r="B2066">
        <v>1</v>
      </c>
      <c r="C2066" t="s">
        <v>541</v>
      </c>
      <c r="D2066" t="s">
        <v>10</v>
      </c>
      <c r="E2066" t="s">
        <v>321</v>
      </c>
      <c r="F2066" t="s">
        <v>158</v>
      </c>
      <c r="G2066" t="s">
        <v>13</v>
      </c>
      <c r="I2066" s="42">
        <v>746.99</v>
      </c>
      <c r="J2066" s="42"/>
      <c r="K2066" s="42"/>
      <c r="L2066" s="42">
        <v>746.99</v>
      </c>
      <c r="N2066" s="42">
        <v>746.99</v>
      </c>
    </row>
    <row r="2067" spans="1:14" x14ac:dyDescent="0.25">
      <c r="A2067" s="1">
        <v>46084</v>
      </c>
      <c r="B2067">
        <v>1</v>
      </c>
      <c r="C2067" t="s">
        <v>541</v>
      </c>
      <c r="D2067" t="s">
        <v>10</v>
      </c>
      <c r="E2067" t="s">
        <v>322</v>
      </c>
      <c r="F2067" t="s">
        <v>158</v>
      </c>
      <c r="G2067" t="s">
        <v>13</v>
      </c>
      <c r="I2067" s="42">
        <v>746.99</v>
      </c>
      <c r="J2067" s="42">
        <v>29.01</v>
      </c>
      <c r="K2067" s="42"/>
      <c r="L2067" s="42">
        <v>776</v>
      </c>
      <c r="N2067" s="42">
        <v>776</v>
      </c>
    </row>
    <row r="2068" spans="1:14" x14ac:dyDescent="0.25">
      <c r="A2068" s="1">
        <v>46084</v>
      </c>
      <c r="B2068">
        <v>1</v>
      </c>
      <c r="C2068" t="s">
        <v>541</v>
      </c>
      <c r="D2068" t="s">
        <v>10</v>
      </c>
      <c r="E2068" t="s">
        <v>310</v>
      </c>
      <c r="F2068" t="s">
        <v>28</v>
      </c>
      <c r="G2068" t="s">
        <v>13</v>
      </c>
      <c r="I2068" s="42">
        <v>931.99</v>
      </c>
      <c r="J2068" s="42"/>
      <c r="K2068" s="42"/>
      <c r="L2068" s="42">
        <v>931.99</v>
      </c>
      <c r="N2068" s="42">
        <v>931.99</v>
      </c>
    </row>
    <row r="2069" spans="1:14" x14ac:dyDescent="0.25">
      <c r="A2069" s="1">
        <v>46084</v>
      </c>
      <c r="B2069">
        <v>1</v>
      </c>
      <c r="C2069" t="s">
        <v>542</v>
      </c>
      <c r="D2069" t="s">
        <v>89</v>
      </c>
      <c r="E2069" t="s">
        <v>235</v>
      </c>
      <c r="F2069" t="s">
        <v>158</v>
      </c>
      <c r="G2069" t="s">
        <v>104</v>
      </c>
      <c r="I2069" s="42">
        <v>746.99</v>
      </c>
      <c r="J2069" s="42"/>
      <c r="K2069" s="42"/>
      <c r="L2069" s="42">
        <v>746.99</v>
      </c>
      <c r="N2069" s="42"/>
    </row>
    <row r="2070" spans="1:14" x14ac:dyDescent="0.25">
      <c r="A2070" s="1">
        <v>46084</v>
      </c>
      <c r="B2070">
        <v>1</v>
      </c>
      <c r="C2070" t="s">
        <v>541</v>
      </c>
      <c r="D2070" t="s">
        <v>10</v>
      </c>
      <c r="E2070" t="s">
        <v>303</v>
      </c>
      <c r="F2070" t="s">
        <v>33</v>
      </c>
      <c r="G2070" t="s">
        <v>13</v>
      </c>
      <c r="I2070" s="42">
        <v>851.99</v>
      </c>
      <c r="J2070" s="42"/>
      <c r="K2070" s="42"/>
      <c r="L2070" s="42">
        <v>851.99</v>
      </c>
      <c r="N2070" s="42">
        <v>851.99</v>
      </c>
    </row>
    <row r="2071" spans="1:14" x14ac:dyDescent="0.25">
      <c r="A2071" s="1">
        <v>46084</v>
      </c>
      <c r="B2071">
        <v>1</v>
      </c>
      <c r="C2071" t="s">
        <v>541</v>
      </c>
      <c r="D2071" t="s">
        <v>10</v>
      </c>
      <c r="E2071" t="s">
        <v>81</v>
      </c>
      <c r="F2071" t="s">
        <v>12</v>
      </c>
      <c r="G2071" t="s">
        <v>13</v>
      </c>
      <c r="I2071" s="42">
        <v>746.99</v>
      </c>
      <c r="J2071" s="42">
        <v>90</v>
      </c>
      <c r="K2071" s="42"/>
      <c r="L2071" s="42">
        <v>836.99</v>
      </c>
      <c r="N2071" s="42">
        <v>836.99</v>
      </c>
    </row>
    <row r="2072" spans="1:14" x14ac:dyDescent="0.25">
      <c r="A2072" s="1">
        <v>46084</v>
      </c>
      <c r="B2072">
        <v>1</v>
      </c>
      <c r="C2072" t="s">
        <v>541</v>
      </c>
      <c r="D2072" t="s">
        <v>10</v>
      </c>
      <c r="E2072" t="s">
        <v>83</v>
      </c>
      <c r="F2072" t="s">
        <v>41</v>
      </c>
      <c r="G2072" t="s">
        <v>13</v>
      </c>
      <c r="I2072" s="42">
        <v>746.99</v>
      </c>
      <c r="J2072" s="42"/>
      <c r="K2072" s="42">
        <v>1.99</v>
      </c>
      <c r="L2072" s="42">
        <v>745</v>
      </c>
      <c r="N2072" s="42">
        <v>745</v>
      </c>
    </row>
    <row r="2073" spans="1:14" x14ac:dyDescent="0.25">
      <c r="A2073" s="1">
        <v>46084</v>
      </c>
      <c r="B2073">
        <v>1</v>
      </c>
      <c r="C2073" t="s">
        <v>541</v>
      </c>
      <c r="D2073" t="s">
        <v>10</v>
      </c>
      <c r="E2073" t="s">
        <v>85</v>
      </c>
      <c r="F2073" t="s">
        <v>28</v>
      </c>
      <c r="G2073" t="s">
        <v>66</v>
      </c>
      <c r="I2073" s="42">
        <v>931.99</v>
      </c>
      <c r="J2073" s="42">
        <v>0.01</v>
      </c>
      <c r="K2073" s="42"/>
      <c r="L2073" s="42">
        <v>932</v>
      </c>
      <c r="N2073" s="42">
        <v>932</v>
      </c>
    </row>
    <row r="2074" spans="1:14" x14ac:dyDescent="0.25">
      <c r="A2074" s="1">
        <v>46084</v>
      </c>
      <c r="B2074">
        <v>1</v>
      </c>
      <c r="C2074" t="s">
        <v>541</v>
      </c>
      <c r="D2074" t="s">
        <v>10</v>
      </c>
      <c r="E2074" t="s">
        <v>87</v>
      </c>
      <c r="F2074" t="s">
        <v>28</v>
      </c>
      <c r="G2074" t="s">
        <v>13</v>
      </c>
      <c r="I2074" s="42">
        <v>931.99</v>
      </c>
      <c r="J2074" s="42"/>
      <c r="K2074" s="42">
        <v>1.99</v>
      </c>
      <c r="L2074" s="42">
        <v>930</v>
      </c>
      <c r="N2074" s="42">
        <v>930</v>
      </c>
    </row>
    <row r="2075" spans="1:14" x14ac:dyDescent="0.25">
      <c r="A2075" s="1">
        <v>46084</v>
      </c>
      <c r="B2075">
        <v>1</v>
      </c>
      <c r="C2075" t="s">
        <v>541</v>
      </c>
      <c r="D2075" t="s">
        <v>10</v>
      </c>
      <c r="E2075" t="s">
        <v>90</v>
      </c>
      <c r="F2075" t="s">
        <v>91</v>
      </c>
      <c r="G2075" t="s">
        <v>22</v>
      </c>
      <c r="I2075" s="42">
        <v>550</v>
      </c>
      <c r="J2075" s="42"/>
      <c r="K2075" s="42"/>
      <c r="L2075" s="42">
        <v>550</v>
      </c>
      <c r="N2075" s="42">
        <v>550</v>
      </c>
    </row>
    <row r="2076" spans="1:14" x14ac:dyDescent="0.25">
      <c r="A2076" s="1">
        <v>46084</v>
      </c>
      <c r="B2076">
        <v>1</v>
      </c>
      <c r="C2076" t="s">
        <v>541</v>
      </c>
      <c r="D2076" t="s">
        <v>10</v>
      </c>
      <c r="E2076" t="s">
        <v>102</v>
      </c>
      <c r="F2076" t="s">
        <v>103</v>
      </c>
      <c r="G2076" t="s">
        <v>104</v>
      </c>
      <c r="I2076" s="42">
        <v>801.99</v>
      </c>
      <c r="J2076" s="42">
        <v>30</v>
      </c>
      <c r="K2076" s="42"/>
      <c r="L2076" s="42">
        <v>831.99</v>
      </c>
      <c r="N2076" s="42">
        <v>831.99</v>
      </c>
    </row>
    <row r="2077" spans="1:14" x14ac:dyDescent="0.25">
      <c r="A2077" s="1">
        <v>46084</v>
      </c>
      <c r="B2077">
        <v>1</v>
      </c>
      <c r="C2077" t="s">
        <v>541</v>
      </c>
      <c r="D2077" t="s">
        <v>10</v>
      </c>
      <c r="E2077" t="s">
        <v>307</v>
      </c>
      <c r="F2077" t="s">
        <v>214</v>
      </c>
      <c r="G2077" t="s">
        <v>66</v>
      </c>
      <c r="I2077" s="42">
        <v>851.99</v>
      </c>
      <c r="J2077" s="42"/>
      <c r="K2077" s="42"/>
      <c r="L2077" s="42">
        <v>1346.99</v>
      </c>
      <c r="N2077" s="42">
        <v>851.99</v>
      </c>
    </row>
    <row r="2078" spans="1:14" x14ac:dyDescent="0.25">
      <c r="A2078" s="1">
        <v>46084</v>
      </c>
      <c r="B2078">
        <v>1</v>
      </c>
      <c r="C2078" t="s">
        <v>541</v>
      </c>
      <c r="D2078" t="s">
        <v>10</v>
      </c>
      <c r="E2078" t="s">
        <v>110</v>
      </c>
      <c r="F2078" t="s">
        <v>55</v>
      </c>
      <c r="G2078" t="s">
        <v>111</v>
      </c>
      <c r="I2078" s="42">
        <v>746.99</v>
      </c>
      <c r="J2078" s="42">
        <v>53.01</v>
      </c>
      <c r="K2078" s="42"/>
      <c r="L2078" s="42">
        <v>800</v>
      </c>
      <c r="N2078" s="42">
        <v>800</v>
      </c>
    </row>
    <row r="2079" spans="1:14" x14ac:dyDescent="0.25">
      <c r="A2079" s="1">
        <v>46084</v>
      </c>
      <c r="B2079">
        <v>1</v>
      </c>
      <c r="C2079" t="s">
        <v>541</v>
      </c>
      <c r="D2079" t="s">
        <v>10</v>
      </c>
      <c r="E2079" t="s">
        <v>113</v>
      </c>
      <c r="F2079" t="s">
        <v>12</v>
      </c>
      <c r="G2079" t="s">
        <v>13</v>
      </c>
      <c r="I2079" s="42">
        <v>746.99</v>
      </c>
      <c r="J2079" s="42">
        <v>28.01</v>
      </c>
      <c r="K2079" s="42"/>
      <c r="L2079" s="42">
        <v>775</v>
      </c>
      <c r="N2079" s="42">
        <v>775</v>
      </c>
    </row>
    <row r="2080" spans="1:14" x14ac:dyDescent="0.25">
      <c r="A2080" s="1">
        <v>46084</v>
      </c>
      <c r="B2080">
        <v>1</v>
      </c>
      <c r="C2080" t="s">
        <v>541</v>
      </c>
      <c r="D2080" t="s">
        <v>10</v>
      </c>
      <c r="E2080" t="s">
        <v>118</v>
      </c>
      <c r="F2080" t="s">
        <v>119</v>
      </c>
      <c r="G2080" t="s">
        <v>13</v>
      </c>
      <c r="I2080" s="42">
        <v>851.99</v>
      </c>
      <c r="J2080" s="42">
        <v>30</v>
      </c>
      <c r="K2080" s="42"/>
      <c r="L2080" s="42">
        <v>881.99</v>
      </c>
      <c r="N2080" s="42">
        <v>881.99</v>
      </c>
    </row>
    <row r="2081" spans="1:14" x14ac:dyDescent="0.25">
      <c r="A2081" s="1">
        <v>46084</v>
      </c>
      <c r="B2081">
        <v>1</v>
      </c>
      <c r="C2081" t="s">
        <v>541</v>
      </c>
      <c r="D2081" t="s">
        <v>10</v>
      </c>
      <c r="E2081" t="s">
        <v>302</v>
      </c>
      <c r="F2081" t="s">
        <v>37</v>
      </c>
      <c r="G2081" t="s">
        <v>13</v>
      </c>
      <c r="I2081" s="42">
        <v>746.99</v>
      </c>
      <c r="J2081" s="42"/>
      <c r="K2081" s="42"/>
      <c r="L2081" s="42">
        <v>746.99</v>
      </c>
      <c r="N2081" s="42">
        <v>746.99</v>
      </c>
    </row>
    <row r="2082" spans="1:14" x14ac:dyDescent="0.25">
      <c r="A2082" s="1">
        <v>46084</v>
      </c>
      <c r="B2082">
        <v>1</v>
      </c>
      <c r="C2082" t="s">
        <v>541</v>
      </c>
      <c r="D2082" t="s">
        <v>10</v>
      </c>
      <c r="E2082" t="s">
        <v>126</v>
      </c>
      <c r="F2082" t="s">
        <v>55</v>
      </c>
      <c r="G2082" t="s">
        <v>56</v>
      </c>
      <c r="I2082" s="42">
        <v>746.99</v>
      </c>
      <c r="J2082" s="42"/>
      <c r="K2082" s="42">
        <v>1.99</v>
      </c>
      <c r="L2082" s="42">
        <v>745</v>
      </c>
      <c r="N2082" s="42">
        <v>745</v>
      </c>
    </row>
    <row r="2083" spans="1:14" x14ac:dyDescent="0.25">
      <c r="A2083" s="1">
        <v>46084</v>
      </c>
      <c r="B2083">
        <v>1</v>
      </c>
      <c r="C2083" t="s">
        <v>541</v>
      </c>
      <c r="D2083" t="s">
        <v>10</v>
      </c>
      <c r="E2083" t="s">
        <v>128</v>
      </c>
      <c r="F2083" t="s">
        <v>25</v>
      </c>
      <c r="G2083" t="s">
        <v>13</v>
      </c>
      <c r="I2083" s="42">
        <v>1351.99</v>
      </c>
      <c r="J2083" s="42"/>
      <c r="K2083" s="42"/>
      <c r="L2083" s="42">
        <v>1351.99</v>
      </c>
      <c r="N2083" s="42">
        <v>1351.99</v>
      </c>
    </row>
    <row r="2084" spans="1:14" x14ac:dyDescent="0.25">
      <c r="A2084" s="1">
        <v>46084</v>
      </c>
      <c r="B2084">
        <v>1</v>
      </c>
      <c r="C2084" t="s">
        <v>541</v>
      </c>
      <c r="D2084" t="s">
        <v>10</v>
      </c>
      <c r="E2084" t="s">
        <v>130</v>
      </c>
      <c r="F2084" t="s">
        <v>28</v>
      </c>
      <c r="G2084" t="s">
        <v>13</v>
      </c>
      <c r="I2084" s="42">
        <v>931.99</v>
      </c>
      <c r="J2084" s="42">
        <v>30</v>
      </c>
      <c r="K2084" s="42"/>
      <c r="L2084" s="42">
        <v>961.99</v>
      </c>
      <c r="N2084" s="42">
        <v>961.99</v>
      </c>
    </row>
    <row r="2085" spans="1:14" x14ac:dyDescent="0.25">
      <c r="A2085" s="1">
        <v>46084</v>
      </c>
      <c r="B2085">
        <v>1</v>
      </c>
      <c r="C2085" t="s">
        <v>541</v>
      </c>
      <c r="D2085" t="s">
        <v>10</v>
      </c>
      <c r="E2085" t="s">
        <v>132</v>
      </c>
      <c r="F2085" t="s">
        <v>76</v>
      </c>
      <c r="G2085" t="s">
        <v>77</v>
      </c>
      <c r="I2085" s="42">
        <v>1451.99</v>
      </c>
      <c r="J2085" s="42"/>
      <c r="K2085" s="42"/>
      <c r="L2085" s="42">
        <v>1451.99</v>
      </c>
      <c r="N2085" s="42">
        <v>1451.99</v>
      </c>
    </row>
    <row r="2086" spans="1:14" x14ac:dyDescent="0.25">
      <c r="A2086" s="1">
        <v>46084</v>
      </c>
      <c r="B2086">
        <v>1</v>
      </c>
      <c r="C2086" t="s">
        <v>541</v>
      </c>
      <c r="D2086" t="s">
        <v>10</v>
      </c>
      <c r="E2086" t="s">
        <v>137</v>
      </c>
      <c r="F2086" t="s">
        <v>12</v>
      </c>
      <c r="G2086" t="s">
        <v>13</v>
      </c>
      <c r="I2086" s="42">
        <v>746.99</v>
      </c>
      <c r="J2086" s="42">
        <v>3.01</v>
      </c>
      <c r="K2086" s="42"/>
      <c r="L2086" s="42">
        <v>750</v>
      </c>
      <c r="N2086" s="42">
        <v>750</v>
      </c>
    </row>
    <row r="2087" spans="1:14" x14ac:dyDescent="0.25">
      <c r="A2087" s="1">
        <v>46084</v>
      </c>
      <c r="B2087">
        <v>1</v>
      </c>
      <c r="C2087" t="s">
        <v>542</v>
      </c>
      <c r="D2087" t="s">
        <v>99</v>
      </c>
      <c r="E2087" t="s">
        <v>115</v>
      </c>
      <c r="F2087" t="s">
        <v>116</v>
      </c>
      <c r="G2087" t="s">
        <v>13</v>
      </c>
      <c r="I2087" s="42">
        <v>746.99</v>
      </c>
      <c r="J2087" s="42"/>
      <c r="K2087" s="42"/>
      <c r="L2087" s="42">
        <v>746.99</v>
      </c>
      <c r="N2087" s="42"/>
    </row>
    <row r="2088" spans="1:14" x14ac:dyDescent="0.25">
      <c r="A2088" s="1">
        <v>46084</v>
      </c>
      <c r="B2088">
        <v>1</v>
      </c>
      <c r="C2088" t="s">
        <v>541</v>
      </c>
      <c r="D2088" t="s">
        <v>10</v>
      </c>
      <c r="E2088" t="s">
        <v>326</v>
      </c>
      <c r="F2088" t="s">
        <v>52</v>
      </c>
      <c r="G2088" t="s">
        <v>13</v>
      </c>
      <c r="I2088" s="42">
        <v>1251.99</v>
      </c>
      <c r="J2088" s="42">
        <v>1.01</v>
      </c>
      <c r="K2088" s="42"/>
      <c r="L2088" s="42">
        <v>1253</v>
      </c>
      <c r="N2088" s="42">
        <v>1253</v>
      </c>
    </row>
    <row r="2089" spans="1:14" x14ac:dyDescent="0.25">
      <c r="A2089" s="1">
        <v>46084</v>
      </c>
      <c r="B2089">
        <v>1</v>
      </c>
      <c r="C2089" t="s">
        <v>541</v>
      </c>
      <c r="D2089" t="s">
        <v>10</v>
      </c>
      <c r="E2089" t="s">
        <v>333</v>
      </c>
      <c r="F2089" t="s">
        <v>158</v>
      </c>
      <c r="G2089" t="s">
        <v>22</v>
      </c>
      <c r="I2089" s="42">
        <v>746.99</v>
      </c>
      <c r="J2089" s="42"/>
      <c r="K2089" s="42"/>
      <c r="L2089" s="42">
        <v>1241.99</v>
      </c>
      <c r="N2089" s="42">
        <v>746.99</v>
      </c>
    </row>
    <row r="2090" spans="1:14" x14ac:dyDescent="0.25">
      <c r="A2090" s="1">
        <v>46084</v>
      </c>
      <c r="B2090">
        <v>1</v>
      </c>
      <c r="C2090" t="s">
        <v>541</v>
      </c>
      <c r="D2090" t="s">
        <v>10</v>
      </c>
      <c r="E2090" t="s">
        <v>281</v>
      </c>
      <c r="F2090" t="s">
        <v>55</v>
      </c>
      <c r="G2090" t="s">
        <v>56</v>
      </c>
      <c r="I2090" s="42">
        <v>746.99</v>
      </c>
      <c r="J2090" s="42"/>
      <c r="K2090" s="42"/>
      <c r="L2090" s="42">
        <v>1241.99</v>
      </c>
      <c r="N2090" s="42">
        <v>746.99</v>
      </c>
    </row>
    <row r="2091" spans="1:14" x14ac:dyDescent="0.25">
      <c r="A2091" s="1">
        <v>46084</v>
      </c>
      <c r="B2091">
        <v>1</v>
      </c>
      <c r="C2091" t="s">
        <v>541</v>
      </c>
      <c r="D2091" t="s">
        <v>10</v>
      </c>
      <c r="E2091" t="s">
        <v>34</v>
      </c>
      <c r="F2091" t="s">
        <v>33</v>
      </c>
      <c r="G2091" t="s">
        <v>13</v>
      </c>
      <c r="I2091" s="42">
        <v>851.99</v>
      </c>
      <c r="J2091" s="42"/>
      <c r="K2091" s="42"/>
      <c r="L2091" s="42">
        <v>851.99</v>
      </c>
      <c r="N2091" s="42">
        <v>851.99</v>
      </c>
    </row>
    <row r="2092" spans="1:14" x14ac:dyDescent="0.25">
      <c r="A2092" s="1">
        <v>46084</v>
      </c>
      <c r="B2092">
        <v>1</v>
      </c>
      <c r="C2092" t="s">
        <v>541</v>
      </c>
      <c r="D2092" t="s">
        <v>10</v>
      </c>
      <c r="E2092" t="s">
        <v>180</v>
      </c>
      <c r="F2092" t="s">
        <v>52</v>
      </c>
      <c r="G2092" t="s">
        <v>38</v>
      </c>
      <c r="I2092" s="42">
        <v>1251.99</v>
      </c>
      <c r="J2092" s="42"/>
      <c r="K2092" s="42"/>
      <c r="L2092" s="42">
        <v>1251.99</v>
      </c>
      <c r="N2092" s="42">
        <v>1251.99</v>
      </c>
    </row>
    <row r="2093" spans="1:14" x14ac:dyDescent="0.25">
      <c r="A2093" s="1">
        <v>46084</v>
      </c>
      <c r="B2093">
        <v>1</v>
      </c>
      <c r="C2093" t="s">
        <v>542</v>
      </c>
      <c r="D2093" t="s">
        <v>89</v>
      </c>
      <c r="E2093" t="s">
        <v>93</v>
      </c>
      <c r="F2093" t="s">
        <v>94</v>
      </c>
      <c r="G2093" t="s">
        <v>95</v>
      </c>
      <c r="I2093" s="42">
        <v>746.99</v>
      </c>
      <c r="J2093" s="42"/>
      <c r="K2093" s="42"/>
      <c r="L2093" s="42">
        <v>746.99</v>
      </c>
      <c r="N2093" s="42"/>
    </row>
    <row r="2094" spans="1:14" x14ac:dyDescent="0.25">
      <c r="A2094" s="1">
        <v>46084</v>
      </c>
      <c r="B2094">
        <v>1</v>
      </c>
      <c r="C2094" t="s">
        <v>541</v>
      </c>
      <c r="D2094" t="s">
        <v>10</v>
      </c>
      <c r="E2094" t="s">
        <v>124</v>
      </c>
      <c r="F2094" t="s">
        <v>52</v>
      </c>
      <c r="G2094" t="s">
        <v>77</v>
      </c>
      <c r="I2094" s="42">
        <v>1251.99</v>
      </c>
      <c r="J2094" s="42">
        <v>0.01</v>
      </c>
      <c r="K2094" s="42"/>
      <c r="L2094" s="42">
        <v>1252</v>
      </c>
      <c r="N2094" s="42">
        <v>1252</v>
      </c>
    </row>
    <row r="2095" spans="1:14" x14ac:dyDescent="0.25">
      <c r="A2095" s="1">
        <v>46084</v>
      </c>
      <c r="B2095">
        <v>1</v>
      </c>
      <c r="C2095" t="s">
        <v>541</v>
      </c>
      <c r="D2095" t="s">
        <v>336</v>
      </c>
      <c r="E2095" t="s">
        <v>138</v>
      </c>
      <c r="F2095" t="s">
        <v>12</v>
      </c>
      <c r="G2095" t="s">
        <v>13</v>
      </c>
      <c r="I2095" s="42">
        <v>746.99</v>
      </c>
      <c r="J2095" s="42"/>
      <c r="K2095" s="42"/>
      <c r="L2095" s="42">
        <v>746.99</v>
      </c>
      <c r="N2095" s="42"/>
    </row>
    <row r="2096" spans="1:14" x14ac:dyDescent="0.25">
      <c r="A2096" s="1">
        <v>46084</v>
      </c>
      <c r="B2096">
        <v>1</v>
      </c>
      <c r="C2096" t="s">
        <v>541</v>
      </c>
      <c r="D2096" t="s">
        <v>10</v>
      </c>
      <c r="E2096" t="s">
        <v>140</v>
      </c>
      <c r="F2096" t="s">
        <v>28</v>
      </c>
      <c r="G2096" t="s">
        <v>13</v>
      </c>
      <c r="I2096" s="42">
        <v>931.99</v>
      </c>
      <c r="J2096" s="42"/>
      <c r="K2096" s="42"/>
      <c r="L2096" s="42">
        <v>931.99</v>
      </c>
      <c r="N2096" s="42">
        <v>931.99</v>
      </c>
    </row>
    <row r="2097" spans="1:14" x14ac:dyDescent="0.25">
      <c r="A2097" s="1">
        <v>46084</v>
      </c>
      <c r="B2097">
        <v>1</v>
      </c>
      <c r="C2097" t="s">
        <v>541</v>
      </c>
      <c r="D2097" t="s">
        <v>10</v>
      </c>
      <c r="E2097" t="s">
        <v>142</v>
      </c>
      <c r="F2097" t="s">
        <v>55</v>
      </c>
      <c r="G2097" t="s">
        <v>95</v>
      </c>
      <c r="I2097" s="42">
        <v>746.99</v>
      </c>
      <c r="J2097" s="42"/>
      <c r="K2097" s="42">
        <v>0.09</v>
      </c>
      <c r="L2097" s="42">
        <v>746.9</v>
      </c>
      <c r="N2097" s="42">
        <v>746.9</v>
      </c>
    </row>
    <row r="2098" spans="1:14" x14ac:dyDescent="0.25">
      <c r="A2098" s="1">
        <v>46084</v>
      </c>
      <c r="B2098">
        <v>1</v>
      </c>
      <c r="C2098" t="s">
        <v>541</v>
      </c>
      <c r="D2098" t="s">
        <v>10</v>
      </c>
      <c r="E2098" t="s">
        <v>144</v>
      </c>
      <c r="F2098" t="s">
        <v>145</v>
      </c>
      <c r="G2098" t="s">
        <v>66</v>
      </c>
      <c r="I2098" s="42">
        <v>1351.99</v>
      </c>
      <c r="J2098" s="42"/>
      <c r="K2098" s="42"/>
      <c r="L2098" s="42">
        <v>1351.99</v>
      </c>
      <c r="N2098" s="42">
        <v>1351.99</v>
      </c>
    </row>
    <row r="2099" spans="1:14" x14ac:dyDescent="0.25">
      <c r="A2099" s="1">
        <v>46084</v>
      </c>
      <c r="B2099">
        <v>1</v>
      </c>
      <c r="C2099" t="s">
        <v>541</v>
      </c>
      <c r="D2099" t="s">
        <v>10</v>
      </c>
      <c r="E2099" t="s">
        <v>147</v>
      </c>
      <c r="F2099" t="s">
        <v>33</v>
      </c>
      <c r="G2099" t="s">
        <v>13</v>
      </c>
      <c r="I2099" s="42">
        <v>851.99</v>
      </c>
      <c r="J2099" s="42">
        <v>30.01</v>
      </c>
      <c r="K2099" s="42"/>
      <c r="L2099" s="42">
        <v>882</v>
      </c>
      <c r="N2099" s="42">
        <v>882</v>
      </c>
    </row>
    <row r="2100" spans="1:14" x14ac:dyDescent="0.25">
      <c r="A2100" s="1">
        <v>46084</v>
      </c>
      <c r="B2100">
        <v>1</v>
      </c>
      <c r="C2100" t="s">
        <v>541</v>
      </c>
      <c r="D2100" t="s">
        <v>10</v>
      </c>
      <c r="E2100" t="s">
        <v>149</v>
      </c>
      <c r="F2100" t="s">
        <v>33</v>
      </c>
      <c r="G2100" t="s">
        <v>13</v>
      </c>
      <c r="I2100" s="42">
        <v>851.99</v>
      </c>
      <c r="J2100" s="42">
        <v>58.01</v>
      </c>
      <c r="K2100" s="42"/>
      <c r="L2100" s="42">
        <v>910</v>
      </c>
      <c r="N2100" s="42">
        <v>910</v>
      </c>
    </row>
    <row r="2101" spans="1:14" x14ac:dyDescent="0.25">
      <c r="A2101" s="1">
        <v>46084</v>
      </c>
      <c r="B2101">
        <v>1</v>
      </c>
      <c r="C2101" t="s">
        <v>541</v>
      </c>
      <c r="D2101" t="s">
        <v>10</v>
      </c>
      <c r="E2101" t="s">
        <v>97</v>
      </c>
      <c r="F2101" t="s">
        <v>33</v>
      </c>
      <c r="G2101" t="s">
        <v>13</v>
      </c>
      <c r="I2101" s="42">
        <v>851.99</v>
      </c>
      <c r="J2101" s="42"/>
      <c r="K2101" s="42"/>
      <c r="L2101" s="42">
        <v>851.99</v>
      </c>
      <c r="N2101" s="42">
        <v>851.99</v>
      </c>
    </row>
    <row r="2102" spans="1:14" x14ac:dyDescent="0.25">
      <c r="A2102" s="1">
        <v>46084</v>
      </c>
      <c r="B2102">
        <v>1</v>
      </c>
      <c r="C2102" t="s">
        <v>541</v>
      </c>
      <c r="D2102" t="s">
        <v>10</v>
      </c>
      <c r="E2102" t="s">
        <v>151</v>
      </c>
      <c r="F2102" t="s">
        <v>33</v>
      </c>
      <c r="G2102" t="s">
        <v>38</v>
      </c>
      <c r="I2102" s="42">
        <v>851.99</v>
      </c>
      <c r="J2102" s="42"/>
      <c r="K2102" s="42"/>
      <c r="L2102" s="42">
        <v>851.99</v>
      </c>
      <c r="N2102" s="42">
        <v>851.99</v>
      </c>
    </row>
    <row r="2103" spans="1:14" x14ac:dyDescent="0.25">
      <c r="A2103" s="1">
        <v>46084</v>
      </c>
      <c r="B2103">
        <v>1</v>
      </c>
      <c r="C2103" t="s">
        <v>541</v>
      </c>
      <c r="D2103" t="s">
        <v>10</v>
      </c>
      <c r="E2103" t="s">
        <v>153</v>
      </c>
      <c r="F2103" t="s">
        <v>12</v>
      </c>
      <c r="G2103" t="s">
        <v>13</v>
      </c>
      <c r="I2103" s="42">
        <v>746.99</v>
      </c>
      <c r="J2103" s="42"/>
      <c r="K2103" s="42">
        <v>36</v>
      </c>
      <c r="L2103" s="42">
        <v>710.99</v>
      </c>
      <c r="N2103" s="42">
        <v>710.99</v>
      </c>
    </row>
    <row r="2104" spans="1:14" x14ac:dyDescent="0.25">
      <c r="A2104" s="1">
        <v>46084</v>
      </c>
      <c r="B2104">
        <v>1</v>
      </c>
      <c r="C2104" t="s">
        <v>541</v>
      </c>
      <c r="D2104" t="s">
        <v>10</v>
      </c>
      <c r="E2104" t="s">
        <v>155</v>
      </c>
      <c r="F2104" t="s">
        <v>33</v>
      </c>
      <c r="G2104" t="s">
        <v>38</v>
      </c>
      <c r="I2104" s="42">
        <v>851.99</v>
      </c>
      <c r="J2104" s="42">
        <v>60</v>
      </c>
      <c r="K2104" s="42"/>
      <c r="L2104" s="42">
        <v>911.99</v>
      </c>
      <c r="N2104" s="42">
        <v>911.99</v>
      </c>
    </row>
    <row r="2105" spans="1:14" x14ac:dyDescent="0.25">
      <c r="A2105" s="1">
        <v>46084</v>
      </c>
      <c r="B2105">
        <v>1</v>
      </c>
      <c r="C2105" t="s">
        <v>541</v>
      </c>
      <c r="D2105" t="s">
        <v>10</v>
      </c>
      <c r="E2105" t="s">
        <v>157</v>
      </c>
      <c r="F2105" t="s">
        <v>158</v>
      </c>
      <c r="G2105" t="s">
        <v>111</v>
      </c>
      <c r="I2105" s="42">
        <v>746.99</v>
      </c>
      <c r="J2105" s="42"/>
      <c r="K2105" s="42"/>
      <c r="L2105" s="42">
        <v>746.99</v>
      </c>
      <c r="N2105" s="42"/>
    </row>
    <row r="2106" spans="1:14" x14ac:dyDescent="0.25">
      <c r="A2106" s="1">
        <v>46084</v>
      </c>
      <c r="B2106">
        <v>1</v>
      </c>
      <c r="C2106" t="s">
        <v>541</v>
      </c>
      <c r="D2106" t="s">
        <v>10</v>
      </c>
      <c r="E2106" t="s">
        <v>106</v>
      </c>
      <c r="F2106" t="s">
        <v>12</v>
      </c>
      <c r="G2106" t="s">
        <v>13</v>
      </c>
      <c r="I2106" s="42">
        <v>746.99</v>
      </c>
      <c r="J2106" s="42"/>
      <c r="K2106" s="42"/>
      <c r="L2106" s="42">
        <v>746.99</v>
      </c>
      <c r="N2106" s="42">
        <v>746.99</v>
      </c>
    </row>
    <row r="2107" spans="1:14" x14ac:dyDescent="0.25">
      <c r="A2107" s="1">
        <v>46084</v>
      </c>
      <c r="B2107">
        <v>1</v>
      </c>
      <c r="C2107" t="s">
        <v>541</v>
      </c>
      <c r="D2107" t="s">
        <v>10</v>
      </c>
      <c r="E2107" t="s">
        <v>244</v>
      </c>
      <c r="F2107" t="s">
        <v>245</v>
      </c>
      <c r="G2107" t="s">
        <v>13</v>
      </c>
      <c r="I2107" s="42">
        <v>746.99</v>
      </c>
      <c r="J2107" s="42"/>
      <c r="K2107" s="42"/>
      <c r="L2107" s="42">
        <v>746.99</v>
      </c>
      <c r="N2107" s="42">
        <v>746.99</v>
      </c>
    </row>
    <row r="2108" spans="1:14" x14ac:dyDescent="0.25">
      <c r="A2108" s="1">
        <v>46084</v>
      </c>
      <c r="B2108">
        <v>1</v>
      </c>
      <c r="C2108" t="s">
        <v>541</v>
      </c>
      <c r="D2108" t="s">
        <v>10</v>
      </c>
      <c r="E2108" t="s">
        <v>166</v>
      </c>
      <c r="F2108" t="s">
        <v>12</v>
      </c>
      <c r="G2108" t="s">
        <v>13</v>
      </c>
      <c r="I2108" s="42">
        <v>746.99</v>
      </c>
      <c r="J2108" s="42"/>
      <c r="K2108" s="42">
        <v>1.99</v>
      </c>
      <c r="L2108" s="42">
        <v>745</v>
      </c>
      <c r="N2108" s="42">
        <v>745</v>
      </c>
    </row>
    <row r="2109" spans="1:14" x14ac:dyDescent="0.25">
      <c r="A2109" s="1">
        <v>46084</v>
      </c>
      <c r="B2109">
        <v>1</v>
      </c>
      <c r="C2109" t="s">
        <v>541</v>
      </c>
      <c r="D2109" t="s">
        <v>10</v>
      </c>
      <c r="E2109" t="s">
        <v>177</v>
      </c>
      <c r="F2109" t="s">
        <v>178</v>
      </c>
      <c r="G2109" t="s">
        <v>13</v>
      </c>
      <c r="I2109" s="42">
        <v>851.99</v>
      </c>
      <c r="J2109" s="42">
        <v>0.01</v>
      </c>
      <c r="K2109" s="42"/>
      <c r="L2109" s="42">
        <v>852</v>
      </c>
      <c r="N2109" s="42">
        <v>852</v>
      </c>
    </row>
    <row r="2110" spans="1:14" x14ac:dyDescent="0.25">
      <c r="A2110" s="1">
        <v>46084</v>
      </c>
      <c r="B2110">
        <v>1</v>
      </c>
      <c r="C2110" t="s">
        <v>541</v>
      </c>
      <c r="D2110" t="s">
        <v>10</v>
      </c>
      <c r="E2110" t="s">
        <v>182</v>
      </c>
      <c r="F2110" t="s">
        <v>25</v>
      </c>
      <c r="G2110" t="s">
        <v>183</v>
      </c>
      <c r="I2110" s="42">
        <v>1251.99</v>
      </c>
      <c r="J2110" s="42"/>
      <c r="K2110" s="42">
        <v>1.99</v>
      </c>
      <c r="L2110" s="42">
        <v>1250</v>
      </c>
      <c r="N2110" s="42">
        <v>1250</v>
      </c>
    </row>
    <row r="2111" spans="1:14" x14ac:dyDescent="0.25">
      <c r="A2111" s="1">
        <v>46084</v>
      </c>
      <c r="B2111">
        <v>1</v>
      </c>
      <c r="C2111" t="s">
        <v>541</v>
      </c>
      <c r="D2111" t="s">
        <v>10</v>
      </c>
      <c r="E2111" t="s">
        <v>707</v>
      </c>
      <c r="F2111" t="s">
        <v>73</v>
      </c>
      <c r="G2111" t="s">
        <v>13</v>
      </c>
      <c r="I2111" s="42">
        <v>2001.99</v>
      </c>
      <c r="J2111" s="42">
        <v>30</v>
      </c>
      <c r="K2111" s="42"/>
      <c r="L2111" s="42">
        <v>2031.99</v>
      </c>
      <c r="N2111" s="42">
        <v>2031.99</v>
      </c>
    </row>
    <row r="2112" spans="1:14" x14ac:dyDescent="0.25">
      <c r="A2112" s="1">
        <v>46084</v>
      </c>
      <c r="B2112">
        <v>1</v>
      </c>
      <c r="C2112" t="s">
        <v>541</v>
      </c>
      <c r="D2112" t="s">
        <v>10</v>
      </c>
      <c r="E2112" t="s">
        <v>328</v>
      </c>
      <c r="F2112" t="s">
        <v>55</v>
      </c>
      <c r="G2112" t="s">
        <v>13</v>
      </c>
      <c r="I2112" s="42">
        <v>746.99</v>
      </c>
      <c r="J2112" s="42"/>
      <c r="K2112" s="42">
        <v>213.42</v>
      </c>
      <c r="L2112" s="42">
        <v>533.57000000000005</v>
      </c>
      <c r="N2112" s="42">
        <v>533.57000000000005</v>
      </c>
    </row>
    <row r="2113" spans="1:14" x14ac:dyDescent="0.25">
      <c r="A2113" s="1">
        <v>46084</v>
      </c>
      <c r="B2113">
        <v>1</v>
      </c>
      <c r="C2113" t="s">
        <v>541</v>
      </c>
      <c r="D2113" t="s">
        <v>10</v>
      </c>
      <c r="E2113" t="s">
        <v>312</v>
      </c>
      <c r="F2113" t="s">
        <v>158</v>
      </c>
      <c r="G2113" t="s">
        <v>104</v>
      </c>
      <c r="I2113" s="42">
        <v>746.99</v>
      </c>
      <c r="J2113" s="42"/>
      <c r="K2113" s="42"/>
      <c r="L2113" s="42">
        <v>746.99</v>
      </c>
      <c r="N2113" s="42">
        <v>746.99</v>
      </c>
    </row>
    <row r="2114" spans="1:14" x14ac:dyDescent="0.25">
      <c r="A2114" s="1">
        <v>46084</v>
      </c>
      <c r="B2114">
        <v>1</v>
      </c>
      <c r="C2114" t="s">
        <v>541</v>
      </c>
      <c r="D2114" t="s">
        <v>10</v>
      </c>
      <c r="E2114" t="s">
        <v>257</v>
      </c>
      <c r="F2114" t="s">
        <v>158</v>
      </c>
      <c r="G2114" t="s">
        <v>111</v>
      </c>
      <c r="I2114" s="42">
        <v>746.99</v>
      </c>
      <c r="J2114" s="42">
        <v>6.01</v>
      </c>
      <c r="K2114" s="42"/>
      <c r="L2114" s="42">
        <v>753</v>
      </c>
      <c r="N2114" s="42">
        <v>753</v>
      </c>
    </row>
    <row r="2115" spans="1:14" x14ac:dyDescent="0.25">
      <c r="A2115" s="1">
        <v>46084</v>
      </c>
      <c r="B2115">
        <v>1</v>
      </c>
      <c r="C2115" t="s">
        <v>541</v>
      </c>
      <c r="D2115" t="s">
        <v>10</v>
      </c>
      <c r="E2115" t="s">
        <v>335</v>
      </c>
      <c r="F2115" t="s">
        <v>158</v>
      </c>
      <c r="G2115" t="s">
        <v>104</v>
      </c>
      <c r="I2115" s="42">
        <v>746.99</v>
      </c>
      <c r="J2115" s="42">
        <v>0.01</v>
      </c>
      <c r="K2115" s="42"/>
      <c r="L2115" s="42">
        <v>747</v>
      </c>
      <c r="N2115" s="42">
        <v>747</v>
      </c>
    </row>
    <row r="2116" spans="1:14" x14ac:dyDescent="0.25">
      <c r="A2116" s="1">
        <v>46084</v>
      </c>
      <c r="B2116">
        <v>1</v>
      </c>
      <c r="C2116" t="s">
        <v>541</v>
      </c>
      <c r="D2116" t="s">
        <v>10</v>
      </c>
      <c r="E2116" t="s">
        <v>250</v>
      </c>
      <c r="F2116" t="s">
        <v>12</v>
      </c>
      <c r="G2116" t="s">
        <v>13</v>
      </c>
      <c r="I2116" s="42">
        <v>746.99</v>
      </c>
      <c r="J2116" s="42"/>
      <c r="K2116" s="42"/>
      <c r="L2116" s="42">
        <v>1241.99</v>
      </c>
      <c r="N2116" s="42">
        <v>746.99</v>
      </c>
    </row>
    <row r="2117" spans="1:14" x14ac:dyDescent="0.25">
      <c r="A2117" s="1">
        <v>46084</v>
      </c>
      <c r="B2117">
        <v>1</v>
      </c>
      <c r="C2117" t="s">
        <v>541</v>
      </c>
      <c r="D2117" t="s">
        <v>10</v>
      </c>
      <c r="E2117" t="s">
        <v>296</v>
      </c>
      <c r="F2117" t="s">
        <v>37</v>
      </c>
      <c r="G2117" t="s">
        <v>38</v>
      </c>
      <c r="I2117" s="42">
        <v>746.99</v>
      </c>
      <c r="J2117" s="42"/>
      <c r="K2117" s="42"/>
      <c r="L2117" s="42">
        <v>746.99</v>
      </c>
      <c r="N2117" s="42">
        <v>746.99</v>
      </c>
    </row>
    <row r="2118" spans="1:14" x14ac:dyDescent="0.25">
      <c r="A2118" s="1">
        <v>46084</v>
      </c>
      <c r="B2118">
        <v>1</v>
      </c>
      <c r="C2118" t="s">
        <v>541</v>
      </c>
      <c r="D2118" t="s">
        <v>10</v>
      </c>
      <c r="E2118" t="s">
        <v>331</v>
      </c>
      <c r="F2118" t="s">
        <v>12</v>
      </c>
      <c r="G2118" t="s">
        <v>13</v>
      </c>
      <c r="I2118" s="42">
        <v>746.99</v>
      </c>
      <c r="J2118" s="42"/>
      <c r="K2118" s="42"/>
      <c r="L2118" s="42">
        <v>746.99</v>
      </c>
      <c r="N2118" s="42">
        <v>746.99</v>
      </c>
    </row>
    <row r="2119" spans="1:14" x14ac:dyDescent="0.25">
      <c r="A2119" s="1">
        <v>46084</v>
      </c>
      <c r="B2119">
        <v>1</v>
      </c>
      <c r="C2119" t="s">
        <v>541</v>
      </c>
      <c r="D2119" t="s">
        <v>10</v>
      </c>
      <c r="E2119" t="s">
        <v>121</v>
      </c>
      <c r="F2119" t="s">
        <v>52</v>
      </c>
      <c r="G2119" t="s">
        <v>122</v>
      </c>
      <c r="I2119" s="42">
        <v>1251.99</v>
      </c>
      <c r="J2119" s="42">
        <v>120</v>
      </c>
      <c r="K2119" s="42">
        <v>1.99</v>
      </c>
      <c r="L2119" s="42">
        <v>1370</v>
      </c>
      <c r="N2119" s="42">
        <v>1370</v>
      </c>
    </row>
    <row r="2120" spans="1:14" x14ac:dyDescent="0.25">
      <c r="A2120" s="1">
        <v>46084</v>
      </c>
      <c r="B2120">
        <v>1</v>
      </c>
      <c r="C2120" t="s">
        <v>541</v>
      </c>
      <c r="D2120" t="s">
        <v>10</v>
      </c>
      <c r="E2120" t="s">
        <v>185</v>
      </c>
      <c r="F2120" t="s">
        <v>12</v>
      </c>
      <c r="G2120" t="s">
        <v>13</v>
      </c>
      <c r="I2120" s="42">
        <v>746.99</v>
      </c>
      <c r="J2120" s="42"/>
      <c r="K2120" s="42">
        <v>0.99</v>
      </c>
      <c r="L2120" s="42">
        <v>746</v>
      </c>
      <c r="N2120" s="42">
        <v>746</v>
      </c>
    </row>
    <row r="2121" spans="1:14" x14ac:dyDescent="0.25">
      <c r="A2121" s="1">
        <v>46084</v>
      </c>
      <c r="B2121">
        <v>1</v>
      </c>
      <c r="C2121" t="s">
        <v>541</v>
      </c>
      <c r="D2121" t="s">
        <v>10</v>
      </c>
      <c r="E2121" t="s">
        <v>187</v>
      </c>
      <c r="F2121" t="s">
        <v>12</v>
      </c>
      <c r="G2121" t="s">
        <v>13</v>
      </c>
      <c r="I2121" s="42">
        <v>746.99</v>
      </c>
      <c r="J2121" s="42">
        <v>30.01</v>
      </c>
      <c r="K2121" s="42"/>
      <c r="L2121" s="42">
        <v>777</v>
      </c>
      <c r="N2121" s="42">
        <v>777</v>
      </c>
    </row>
    <row r="2122" spans="1:14" x14ac:dyDescent="0.25">
      <c r="A2122" s="1">
        <v>46084</v>
      </c>
      <c r="B2122">
        <v>1</v>
      </c>
      <c r="C2122" t="s">
        <v>541</v>
      </c>
      <c r="D2122" t="s">
        <v>10</v>
      </c>
      <c r="E2122" t="s">
        <v>308</v>
      </c>
      <c r="F2122" t="s">
        <v>28</v>
      </c>
      <c r="G2122" t="s">
        <v>13</v>
      </c>
      <c r="I2122" s="42">
        <v>931.99</v>
      </c>
      <c r="J2122" s="42">
        <v>30</v>
      </c>
      <c r="K2122" s="42"/>
      <c r="L2122" s="42">
        <v>961.99</v>
      </c>
      <c r="N2122" s="42">
        <v>961.99</v>
      </c>
    </row>
    <row r="2123" spans="1:14" x14ac:dyDescent="0.25">
      <c r="A2123" s="1">
        <v>46084</v>
      </c>
      <c r="B2123">
        <v>1</v>
      </c>
      <c r="C2123" t="s">
        <v>541</v>
      </c>
      <c r="D2123" t="s">
        <v>10</v>
      </c>
      <c r="E2123" t="s">
        <v>189</v>
      </c>
      <c r="F2123" t="s">
        <v>12</v>
      </c>
      <c r="G2123" t="s">
        <v>13</v>
      </c>
      <c r="I2123" s="42">
        <v>746.99</v>
      </c>
      <c r="J2123" s="42"/>
      <c r="K2123" s="42">
        <v>108.42</v>
      </c>
      <c r="L2123" s="42">
        <v>638.57000000000005</v>
      </c>
      <c r="N2123" s="42">
        <v>638.57000000000005</v>
      </c>
    </row>
    <row r="2124" spans="1:14" x14ac:dyDescent="0.25">
      <c r="A2124" s="1">
        <v>46084</v>
      </c>
      <c r="B2124">
        <v>1</v>
      </c>
      <c r="C2124" t="s">
        <v>541</v>
      </c>
      <c r="D2124" t="s">
        <v>10</v>
      </c>
      <c r="E2124" t="s">
        <v>191</v>
      </c>
      <c r="F2124" t="s">
        <v>55</v>
      </c>
      <c r="G2124" t="s">
        <v>13</v>
      </c>
      <c r="I2124" s="42">
        <v>746.99</v>
      </c>
      <c r="J2124" s="42"/>
      <c r="K2124" s="42">
        <v>1.99</v>
      </c>
      <c r="L2124" s="42">
        <v>745</v>
      </c>
      <c r="N2124" s="42">
        <v>745</v>
      </c>
    </row>
    <row r="2125" spans="1:14" x14ac:dyDescent="0.25">
      <c r="A2125" s="1">
        <v>46084</v>
      </c>
      <c r="B2125">
        <v>1</v>
      </c>
      <c r="C2125" t="s">
        <v>541</v>
      </c>
      <c r="D2125" t="s">
        <v>10</v>
      </c>
      <c r="E2125" t="s">
        <v>193</v>
      </c>
      <c r="F2125" t="s">
        <v>12</v>
      </c>
      <c r="G2125" t="s">
        <v>13</v>
      </c>
      <c r="I2125" s="42">
        <v>746.99</v>
      </c>
      <c r="J2125" s="42"/>
      <c r="K2125" s="42">
        <v>321.99</v>
      </c>
      <c r="L2125" s="42">
        <v>425</v>
      </c>
      <c r="N2125" s="42">
        <v>425</v>
      </c>
    </row>
    <row r="2126" spans="1:14" x14ac:dyDescent="0.25">
      <c r="A2126" s="1">
        <v>46084</v>
      </c>
      <c r="B2126">
        <v>1</v>
      </c>
      <c r="C2126" t="s">
        <v>541</v>
      </c>
      <c r="D2126" t="s">
        <v>10</v>
      </c>
      <c r="E2126" t="s">
        <v>195</v>
      </c>
      <c r="F2126" t="s">
        <v>196</v>
      </c>
      <c r="G2126" t="s">
        <v>22</v>
      </c>
      <c r="I2126" s="42">
        <v>681.99</v>
      </c>
      <c r="J2126" s="42"/>
      <c r="K2126" s="42">
        <v>1.99</v>
      </c>
      <c r="L2126" s="42">
        <v>680</v>
      </c>
      <c r="N2126" s="42">
        <v>680</v>
      </c>
    </row>
    <row r="2127" spans="1:14" x14ac:dyDescent="0.25">
      <c r="A2127" s="1">
        <v>46084</v>
      </c>
      <c r="B2127">
        <v>1</v>
      </c>
      <c r="C2127" t="s">
        <v>541</v>
      </c>
      <c r="D2127" t="s">
        <v>10</v>
      </c>
      <c r="E2127" t="s">
        <v>201</v>
      </c>
      <c r="F2127" t="s">
        <v>202</v>
      </c>
      <c r="G2127" t="s">
        <v>56</v>
      </c>
      <c r="I2127" s="42">
        <v>831.99</v>
      </c>
      <c r="J2127" s="42">
        <v>30</v>
      </c>
      <c r="K2127" s="42"/>
      <c r="L2127" s="42">
        <v>861.99</v>
      </c>
      <c r="N2127" s="42">
        <v>861.99</v>
      </c>
    </row>
    <row r="2128" spans="1:14" x14ac:dyDescent="0.25">
      <c r="A2128" s="1">
        <v>46084</v>
      </c>
      <c r="B2128">
        <v>1</v>
      </c>
      <c r="C2128" t="s">
        <v>541</v>
      </c>
      <c r="D2128" t="s">
        <v>10</v>
      </c>
      <c r="E2128" t="s">
        <v>207</v>
      </c>
      <c r="F2128" t="s">
        <v>33</v>
      </c>
      <c r="G2128" t="s">
        <v>13</v>
      </c>
      <c r="I2128" s="42">
        <v>851.99</v>
      </c>
      <c r="J2128" s="42">
        <v>30</v>
      </c>
      <c r="K2128" s="42"/>
      <c r="L2128" s="42">
        <v>881.99</v>
      </c>
      <c r="N2128" s="42">
        <v>881.99</v>
      </c>
    </row>
    <row r="2129" spans="1:14" x14ac:dyDescent="0.25">
      <c r="A2129" s="1">
        <v>46084</v>
      </c>
      <c r="B2129">
        <v>1</v>
      </c>
      <c r="C2129" t="s">
        <v>541</v>
      </c>
      <c r="D2129" t="s">
        <v>10</v>
      </c>
      <c r="E2129" t="s">
        <v>210</v>
      </c>
      <c r="F2129" t="s">
        <v>211</v>
      </c>
      <c r="G2129" t="s">
        <v>13</v>
      </c>
      <c r="I2129" s="42">
        <v>851.99</v>
      </c>
      <c r="J2129" s="42">
        <v>29.01</v>
      </c>
      <c r="K2129" s="42"/>
      <c r="L2129" s="42">
        <v>881</v>
      </c>
      <c r="N2129" s="42">
        <v>881</v>
      </c>
    </row>
    <row r="2130" spans="1:14" x14ac:dyDescent="0.25">
      <c r="A2130" s="1">
        <v>46084</v>
      </c>
      <c r="B2130">
        <v>1</v>
      </c>
      <c r="C2130" t="s">
        <v>541</v>
      </c>
      <c r="D2130" t="s">
        <v>10</v>
      </c>
      <c r="E2130" t="s">
        <v>213</v>
      </c>
      <c r="F2130" t="s">
        <v>214</v>
      </c>
      <c r="G2130" t="s">
        <v>13</v>
      </c>
      <c r="I2130" s="42">
        <v>851.99</v>
      </c>
      <c r="J2130" s="42"/>
      <c r="K2130" s="42"/>
      <c r="L2130" s="42">
        <v>851.99</v>
      </c>
      <c r="N2130" s="42">
        <v>851.99</v>
      </c>
    </row>
    <row r="2131" spans="1:14" x14ac:dyDescent="0.25">
      <c r="A2131" s="1">
        <v>46084</v>
      </c>
      <c r="B2131">
        <v>1</v>
      </c>
      <c r="C2131" t="s">
        <v>541</v>
      </c>
      <c r="D2131" t="s">
        <v>10</v>
      </c>
      <c r="E2131" t="s">
        <v>291</v>
      </c>
      <c r="F2131" t="s">
        <v>41</v>
      </c>
      <c r="G2131" t="s">
        <v>13</v>
      </c>
      <c r="I2131" s="42">
        <v>746.99</v>
      </c>
      <c r="J2131" s="42"/>
      <c r="K2131" s="42"/>
      <c r="L2131" s="42">
        <v>746.99</v>
      </c>
      <c r="N2131" s="42">
        <v>746.99</v>
      </c>
    </row>
    <row r="2132" spans="1:14" x14ac:dyDescent="0.25">
      <c r="A2132" s="1">
        <v>46084</v>
      </c>
      <c r="B2132">
        <v>1</v>
      </c>
      <c r="C2132" t="s">
        <v>541</v>
      </c>
      <c r="D2132" t="s">
        <v>10</v>
      </c>
      <c r="E2132" t="s">
        <v>216</v>
      </c>
      <c r="F2132" t="s">
        <v>217</v>
      </c>
      <c r="G2132" t="s">
        <v>13</v>
      </c>
      <c r="I2132" s="42">
        <v>746.99</v>
      </c>
      <c r="J2132" s="42"/>
      <c r="K2132" s="42"/>
      <c r="L2132" s="42">
        <v>746.99</v>
      </c>
      <c r="N2132" s="42">
        <v>746.99</v>
      </c>
    </row>
    <row r="2133" spans="1:14" x14ac:dyDescent="0.25">
      <c r="A2133" s="1">
        <v>46084</v>
      </c>
      <c r="B2133">
        <v>1</v>
      </c>
      <c r="C2133" t="s">
        <v>542</v>
      </c>
      <c r="D2133" t="s">
        <v>136</v>
      </c>
      <c r="E2133" t="s">
        <v>219</v>
      </c>
      <c r="F2133" t="s">
        <v>12</v>
      </c>
      <c r="G2133" t="s">
        <v>13</v>
      </c>
      <c r="I2133" s="42">
        <v>746.99</v>
      </c>
      <c r="J2133" s="42"/>
      <c r="K2133" s="42"/>
      <c r="L2133" s="42">
        <v>746.99</v>
      </c>
      <c r="N2133" s="42"/>
    </row>
    <row r="2134" spans="1:14" x14ac:dyDescent="0.25">
      <c r="A2134" s="1">
        <v>46084</v>
      </c>
      <c r="B2134">
        <v>1</v>
      </c>
      <c r="C2134" t="s">
        <v>541</v>
      </c>
      <c r="D2134" t="s">
        <v>10</v>
      </c>
      <c r="E2134" t="s">
        <v>223</v>
      </c>
      <c r="F2134" t="s">
        <v>41</v>
      </c>
      <c r="G2134" t="s">
        <v>22</v>
      </c>
      <c r="I2134" s="42">
        <v>746.99</v>
      </c>
      <c r="J2134" s="42"/>
      <c r="K2134" s="42"/>
      <c r="L2134" s="42">
        <v>746.99</v>
      </c>
      <c r="N2134" s="42">
        <v>746.99</v>
      </c>
    </row>
    <row r="2135" spans="1:14" x14ac:dyDescent="0.25">
      <c r="A2135" s="1">
        <v>46084</v>
      </c>
      <c r="B2135">
        <v>1</v>
      </c>
      <c r="C2135" t="s">
        <v>541</v>
      </c>
      <c r="D2135" t="s">
        <v>10</v>
      </c>
      <c r="E2135" t="s">
        <v>225</v>
      </c>
      <c r="F2135" t="s">
        <v>217</v>
      </c>
      <c r="G2135" t="s">
        <v>22</v>
      </c>
      <c r="I2135" s="42">
        <v>746.99</v>
      </c>
      <c r="J2135" s="42">
        <v>30.69</v>
      </c>
      <c r="K2135" s="42"/>
      <c r="L2135" s="42">
        <v>777.68</v>
      </c>
      <c r="N2135" s="42">
        <v>777.68</v>
      </c>
    </row>
    <row r="2136" spans="1:14" x14ac:dyDescent="0.25">
      <c r="A2136" s="1">
        <v>46084</v>
      </c>
      <c r="B2136">
        <v>1</v>
      </c>
      <c r="C2136" t="s">
        <v>541</v>
      </c>
      <c r="D2136" t="s">
        <v>10</v>
      </c>
      <c r="E2136" t="s">
        <v>227</v>
      </c>
      <c r="F2136" t="s">
        <v>12</v>
      </c>
      <c r="G2136" t="s">
        <v>104</v>
      </c>
      <c r="I2136" s="42">
        <v>746</v>
      </c>
      <c r="J2136" s="42"/>
      <c r="K2136" s="42"/>
      <c r="L2136" s="42">
        <v>746</v>
      </c>
      <c r="N2136" s="42">
        <v>746</v>
      </c>
    </row>
    <row r="2137" spans="1:14" x14ac:dyDescent="0.25">
      <c r="A2137" s="1">
        <v>46084</v>
      </c>
      <c r="B2137">
        <v>1</v>
      </c>
      <c r="C2137" t="s">
        <v>541</v>
      </c>
      <c r="D2137" t="s">
        <v>10</v>
      </c>
      <c r="E2137" t="s">
        <v>229</v>
      </c>
      <c r="F2137" t="s">
        <v>230</v>
      </c>
      <c r="G2137" t="s">
        <v>22</v>
      </c>
      <c r="I2137" s="42">
        <v>746.99</v>
      </c>
      <c r="J2137" s="42"/>
      <c r="K2137" s="42"/>
      <c r="L2137" s="42">
        <v>746.99</v>
      </c>
      <c r="N2137" s="42">
        <v>746.99</v>
      </c>
    </row>
    <row r="2138" spans="1:14" x14ac:dyDescent="0.25">
      <c r="A2138" s="1">
        <v>46084</v>
      </c>
      <c r="B2138">
        <v>1</v>
      </c>
      <c r="C2138" t="s">
        <v>541</v>
      </c>
      <c r="D2138" t="s">
        <v>10</v>
      </c>
      <c r="E2138" t="s">
        <v>232</v>
      </c>
      <c r="F2138" t="s">
        <v>158</v>
      </c>
      <c r="G2138" t="s">
        <v>22</v>
      </c>
      <c r="I2138" s="42">
        <v>746.99</v>
      </c>
      <c r="J2138" s="42"/>
      <c r="K2138" s="42">
        <v>1.99</v>
      </c>
      <c r="L2138" s="42">
        <v>745</v>
      </c>
      <c r="N2138" s="42">
        <v>745</v>
      </c>
    </row>
    <row r="2139" spans="1:14" x14ac:dyDescent="0.25">
      <c r="A2139" s="1">
        <v>46084</v>
      </c>
      <c r="B2139">
        <v>1</v>
      </c>
      <c r="C2139" t="s">
        <v>541</v>
      </c>
      <c r="D2139" t="s">
        <v>10</v>
      </c>
      <c r="E2139" t="s">
        <v>236</v>
      </c>
      <c r="F2139" t="s">
        <v>158</v>
      </c>
      <c r="G2139" t="s">
        <v>104</v>
      </c>
      <c r="I2139" s="42">
        <v>746.99</v>
      </c>
      <c r="J2139" s="42"/>
      <c r="K2139" s="42">
        <v>106.61</v>
      </c>
      <c r="L2139" s="42">
        <v>640.38</v>
      </c>
      <c r="N2139" s="42">
        <v>640.38</v>
      </c>
    </row>
    <row r="2140" spans="1:14" x14ac:dyDescent="0.25">
      <c r="A2140" s="1">
        <v>46084</v>
      </c>
      <c r="B2140">
        <v>1</v>
      </c>
      <c r="C2140" t="s">
        <v>541</v>
      </c>
      <c r="D2140" t="s">
        <v>10</v>
      </c>
      <c r="E2140" t="s">
        <v>238</v>
      </c>
      <c r="F2140" t="s">
        <v>158</v>
      </c>
      <c r="G2140" t="s">
        <v>66</v>
      </c>
      <c r="I2140" s="42">
        <v>746.99</v>
      </c>
      <c r="J2140" s="42"/>
      <c r="K2140" s="42" t="s">
        <v>722</v>
      </c>
      <c r="L2140" s="42" t="s">
        <v>723</v>
      </c>
      <c r="N2140" s="42">
        <v>746</v>
      </c>
    </row>
    <row r="2141" spans="1:14" x14ac:dyDescent="0.25">
      <c r="A2141" s="1">
        <v>46084</v>
      </c>
      <c r="B2141">
        <v>1</v>
      </c>
      <c r="C2141" t="s">
        <v>541</v>
      </c>
      <c r="D2141" t="s">
        <v>10</v>
      </c>
      <c r="E2141" t="s">
        <v>240</v>
      </c>
      <c r="F2141" t="s">
        <v>158</v>
      </c>
      <c r="G2141" t="s">
        <v>111</v>
      </c>
      <c r="I2141" s="42">
        <v>746.99</v>
      </c>
      <c r="J2141" s="42">
        <v>30.5</v>
      </c>
      <c r="K2141" s="42"/>
      <c r="L2141" s="42">
        <v>777.49</v>
      </c>
      <c r="N2141" s="42">
        <v>777.49</v>
      </c>
    </row>
    <row r="2142" spans="1:14" x14ac:dyDescent="0.25">
      <c r="A2142" s="1">
        <v>46084</v>
      </c>
      <c r="B2142">
        <v>1</v>
      </c>
      <c r="C2142" t="s">
        <v>541</v>
      </c>
      <c r="D2142" t="s">
        <v>10</v>
      </c>
      <c r="E2142" t="s">
        <v>242</v>
      </c>
      <c r="F2142" t="s">
        <v>217</v>
      </c>
      <c r="G2142" t="s">
        <v>13</v>
      </c>
      <c r="I2142" s="42">
        <v>745</v>
      </c>
      <c r="J2142" s="42">
        <v>30</v>
      </c>
      <c r="K2142" s="42"/>
      <c r="L2142" s="42">
        <v>775</v>
      </c>
      <c r="N2142" s="42">
        <v>775</v>
      </c>
    </row>
    <row r="2143" spans="1:14" x14ac:dyDescent="0.25">
      <c r="A2143" s="1">
        <v>46084</v>
      </c>
      <c r="B2143">
        <v>1</v>
      </c>
      <c r="C2143" t="s">
        <v>541</v>
      </c>
      <c r="D2143" t="s">
        <v>10</v>
      </c>
      <c r="E2143" t="s">
        <v>248</v>
      </c>
      <c r="F2143" t="s">
        <v>12</v>
      </c>
      <c r="G2143" t="s">
        <v>13</v>
      </c>
      <c r="I2143" s="42">
        <v>746.99</v>
      </c>
      <c r="J2143" s="42">
        <v>0.01</v>
      </c>
      <c r="K2143" s="42"/>
      <c r="L2143" s="42">
        <v>1242</v>
      </c>
      <c r="N2143" s="42">
        <v>747</v>
      </c>
    </row>
    <row r="2144" spans="1:14" x14ac:dyDescent="0.25">
      <c r="A2144" s="1">
        <v>46084</v>
      </c>
      <c r="B2144">
        <v>1</v>
      </c>
      <c r="C2144" t="s">
        <v>541</v>
      </c>
      <c r="D2144" t="s">
        <v>10</v>
      </c>
      <c r="E2144" t="s">
        <v>252</v>
      </c>
      <c r="F2144" t="s">
        <v>158</v>
      </c>
      <c r="G2144" t="s">
        <v>22</v>
      </c>
      <c r="I2144" s="42">
        <v>746.99</v>
      </c>
      <c r="J2144" s="42"/>
      <c r="K2144" s="42"/>
      <c r="L2144" s="42">
        <v>746.99</v>
      </c>
      <c r="N2144" s="42">
        <v>746.99</v>
      </c>
    </row>
    <row r="2145" spans="1:14" x14ac:dyDescent="0.25">
      <c r="A2145" s="1">
        <v>46084</v>
      </c>
      <c r="B2145">
        <v>1</v>
      </c>
      <c r="C2145" t="s">
        <v>541</v>
      </c>
      <c r="D2145" t="s">
        <v>10</v>
      </c>
      <c r="E2145" t="s">
        <v>254</v>
      </c>
      <c r="F2145" t="s">
        <v>255</v>
      </c>
      <c r="G2145" t="s">
        <v>66</v>
      </c>
      <c r="I2145" s="42">
        <v>851.99</v>
      </c>
      <c r="J2145" s="42"/>
      <c r="K2145" s="42">
        <v>1.99</v>
      </c>
      <c r="L2145" s="42">
        <v>850</v>
      </c>
      <c r="N2145" s="42">
        <v>850</v>
      </c>
    </row>
    <row r="2146" spans="1:14" x14ac:dyDescent="0.25">
      <c r="A2146" s="1">
        <v>46084</v>
      </c>
      <c r="B2146">
        <v>1</v>
      </c>
      <c r="C2146" t="s">
        <v>541</v>
      </c>
      <c r="D2146" t="s">
        <v>10</v>
      </c>
      <c r="E2146" t="s">
        <v>329</v>
      </c>
      <c r="F2146" t="s">
        <v>158</v>
      </c>
      <c r="G2146" t="s">
        <v>104</v>
      </c>
      <c r="I2146" s="42">
        <v>746.99</v>
      </c>
      <c r="J2146" s="42"/>
      <c r="K2146" s="42"/>
      <c r="L2146" s="42">
        <v>746.99</v>
      </c>
      <c r="N2146" s="42">
        <v>746.99</v>
      </c>
    </row>
    <row r="2147" spans="1:14" x14ac:dyDescent="0.25">
      <c r="A2147" s="1">
        <v>46084</v>
      </c>
      <c r="B2147">
        <v>1</v>
      </c>
      <c r="C2147" t="s">
        <v>541</v>
      </c>
      <c r="D2147" t="s">
        <v>136</v>
      </c>
      <c r="E2147" t="s">
        <v>259</v>
      </c>
      <c r="F2147" t="s">
        <v>260</v>
      </c>
      <c r="G2147" t="s">
        <v>261</v>
      </c>
      <c r="I2147" s="42">
        <v>881.99</v>
      </c>
      <c r="J2147" s="42">
        <v>210</v>
      </c>
      <c r="K2147" s="42"/>
      <c r="L2147" s="42">
        <v>1091.99</v>
      </c>
      <c r="N2147" s="42">
        <v>818.01</v>
      </c>
    </row>
    <row r="2148" spans="1:14" x14ac:dyDescent="0.25">
      <c r="A2148" s="1">
        <v>46084</v>
      </c>
      <c r="B2148">
        <v>1</v>
      </c>
      <c r="C2148" t="s">
        <v>541</v>
      </c>
      <c r="D2148" t="s">
        <v>10</v>
      </c>
      <c r="E2148" t="s">
        <v>266</v>
      </c>
      <c r="F2148" t="s">
        <v>55</v>
      </c>
      <c r="G2148" t="s">
        <v>13</v>
      </c>
      <c r="I2148" s="42">
        <v>746.99</v>
      </c>
      <c r="J2148" s="42"/>
      <c r="K2148" s="42">
        <v>1.99</v>
      </c>
      <c r="L2148" s="42">
        <v>745</v>
      </c>
      <c r="N2148" s="42">
        <v>745</v>
      </c>
    </row>
    <row r="2149" spans="1:14" x14ac:dyDescent="0.25">
      <c r="A2149" s="1">
        <v>46084</v>
      </c>
      <c r="B2149">
        <v>1</v>
      </c>
      <c r="C2149" t="s">
        <v>541</v>
      </c>
      <c r="D2149" t="s">
        <v>336</v>
      </c>
      <c r="E2149" t="s">
        <v>268</v>
      </c>
      <c r="F2149" t="s">
        <v>52</v>
      </c>
      <c r="G2149" t="s">
        <v>77</v>
      </c>
      <c r="I2149" s="42">
        <v>1251.99</v>
      </c>
      <c r="J2149" s="42"/>
      <c r="K2149" s="42"/>
      <c r="L2149" s="42">
        <v>1251.99</v>
      </c>
      <c r="N2149" s="42"/>
    </row>
    <row r="2150" spans="1:14" x14ac:dyDescent="0.25">
      <c r="A2150" s="1">
        <v>46084</v>
      </c>
      <c r="B2150">
        <v>1</v>
      </c>
      <c r="C2150" t="s">
        <v>541</v>
      </c>
      <c r="D2150" t="s">
        <v>10</v>
      </c>
      <c r="E2150" t="s">
        <v>270</v>
      </c>
      <c r="F2150" t="s">
        <v>12</v>
      </c>
      <c r="G2150" t="s">
        <v>13</v>
      </c>
      <c r="I2150" s="42">
        <v>746.99</v>
      </c>
      <c r="J2150" s="42"/>
      <c r="K2150" s="42"/>
      <c r="L2150" s="42">
        <v>746.99</v>
      </c>
      <c r="N2150" s="42">
        <v>746.99</v>
      </c>
    </row>
    <row r="2151" spans="1:14" x14ac:dyDescent="0.25">
      <c r="A2151" s="1">
        <v>46084</v>
      </c>
      <c r="B2151">
        <v>1</v>
      </c>
      <c r="C2151" t="s">
        <v>541</v>
      </c>
      <c r="D2151" t="s">
        <v>10</v>
      </c>
      <c r="E2151" t="s">
        <v>272</v>
      </c>
      <c r="F2151" t="s">
        <v>37</v>
      </c>
      <c r="G2151" t="s">
        <v>38</v>
      </c>
      <c r="I2151" s="42">
        <v>746.99</v>
      </c>
      <c r="J2151" s="42">
        <v>28.01</v>
      </c>
      <c r="K2151" s="42"/>
      <c r="L2151" s="42">
        <v>775</v>
      </c>
      <c r="N2151" s="42">
        <v>775</v>
      </c>
    </row>
    <row r="2152" spans="1:14" x14ac:dyDescent="0.25">
      <c r="A2152" s="1">
        <v>46084</v>
      </c>
      <c r="B2152">
        <v>1</v>
      </c>
      <c r="C2152" t="s">
        <v>541</v>
      </c>
      <c r="D2152" t="s">
        <v>10</v>
      </c>
      <c r="E2152" t="s">
        <v>274</v>
      </c>
      <c r="F2152" t="s">
        <v>52</v>
      </c>
      <c r="G2152" t="s">
        <v>77</v>
      </c>
      <c r="I2152" s="42">
        <v>1251.99</v>
      </c>
      <c r="J2152" s="42">
        <v>30.01</v>
      </c>
      <c r="K2152" s="42"/>
      <c r="L2152" s="42">
        <v>1282</v>
      </c>
      <c r="M2152" s="37">
        <v>219.5</v>
      </c>
      <c r="N2152" s="42">
        <v>1282</v>
      </c>
    </row>
    <row r="2153" spans="1:14" x14ac:dyDescent="0.25">
      <c r="A2153" s="1">
        <v>46084</v>
      </c>
      <c r="B2153">
        <v>1</v>
      </c>
      <c r="C2153" t="s">
        <v>541</v>
      </c>
      <c r="D2153" t="s">
        <v>10</v>
      </c>
      <c r="E2153" t="s">
        <v>276</v>
      </c>
      <c r="F2153" t="s">
        <v>277</v>
      </c>
      <c r="G2153" t="s">
        <v>13</v>
      </c>
      <c r="I2153" s="42">
        <v>746.99</v>
      </c>
      <c r="J2153" s="42"/>
      <c r="K2153" s="42"/>
      <c r="L2153" s="42">
        <v>746.99</v>
      </c>
      <c r="N2153" s="42">
        <v>746.99</v>
      </c>
    </row>
    <row r="2154" spans="1:14" x14ac:dyDescent="0.25">
      <c r="A2154" s="1">
        <v>46084</v>
      </c>
      <c r="B2154">
        <v>1</v>
      </c>
      <c r="C2154" t="s">
        <v>541</v>
      </c>
      <c r="D2154" t="s">
        <v>10</v>
      </c>
      <c r="E2154" t="s">
        <v>279</v>
      </c>
      <c r="F2154" t="s">
        <v>55</v>
      </c>
      <c r="G2154" t="s">
        <v>56</v>
      </c>
      <c r="I2154" s="42">
        <v>746.99</v>
      </c>
      <c r="J2154" s="42">
        <v>0.01</v>
      </c>
      <c r="K2154" s="42"/>
      <c r="L2154" s="42">
        <v>747</v>
      </c>
      <c r="N2154" s="42">
        <v>747</v>
      </c>
    </row>
    <row r="2155" spans="1:14" x14ac:dyDescent="0.25">
      <c r="A2155" s="1">
        <v>46084</v>
      </c>
      <c r="B2155">
        <v>1</v>
      </c>
      <c r="C2155" t="s">
        <v>541</v>
      </c>
      <c r="D2155" t="s">
        <v>10</v>
      </c>
      <c r="E2155" t="s">
        <v>285</v>
      </c>
      <c r="F2155" t="s">
        <v>76</v>
      </c>
      <c r="G2155" t="s">
        <v>77</v>
      </c>
      <c r="I2155" s="42">
        <v>1451.99</v>
      </c>
      <c r="J2155" s="42">
        <v>30</v>
      </c>
      <c r="K2155" s="42"/>
      <c r="L2155" s="42">
        <v>1481.99</v>
      </c>
      <c r="N2155" s="42">
        <v>1481.99</v>
      </c>
    </row>
    <row r="2156" spans="1:14" x14ac:dyDescent="0.25">
      <c r="A2156" s="1">
        <v>46084</v>
      </c>
      <c r="B2156">
        <v>1</v>
      </c>
      <c r="C2156" t="s">
        <v>541</v>
      </c>
      <c r="D2156" t="s">
        <v>10</v>
      </c>
      <c r="E2156" t="s">
        <v>293</v>
      </c>
      <c r="F2156" t="s">
        <v>294</v>
      </c>
      <c r="G2156" t="s">
        <v>13</v>
      </c>
      <c r="I2156" s="42">
        <v>746.99</v>
      </c>
      <c r="J2156" s="42"/>
      <c r="K2156" s="42"/>
      <c r="L2156" s="42">
        <v>746.99</v>
      </c>
      <c r="N2156" s="42">
        <v>746.99</v>
      </c>
    </row>
    <row r="2157" spans="1:14" x14ac:dyDescent="0.25">
      <c r="A2157" s="1">
        <v>46084</v>
      </c>
      <c r="B2157">
        <v>1</v>
      </c>
      <c r="C2157" t="s">
        <v>541</v>
      </c>
      <c r="D2157" t="s">
        <v>10</v>
      </c>
      <c r="E2157" t="s">
        <v>295</v>
      </c>
      <c r="F2157" t="s">
        <v>33</v>
      </c>
      <c r="G2157" t="s">
        <v>13</v>
      </c>
      <c r="I2157" s="42">
        <v>851.99</v>
      </c>
      <c r="J2157" s="42"/>
      <c r="K2157" s="42"/>
      <c r="L2157" s="42">
        <v>851.99</v>
      </c>
      <c r="N2157" s="42">
        <v>851.99</v>
      </c>
    </row>
    <row r="2158" spans="1:14" x14ac:dyDescent="0.25">
      <c r="A2158" s="1">
        <v>46084</v>
      </c>
      <c r="B2158">
        <v>1</v>
      </c>
      <c r="C2158" t="s">
        <v>541</v>
      </c>
      <c r="D2158" t="s">
        <v>10</v>
      </c>
      <c r="E2158" t="s">
        <v>108</v>
      </c>
      <c r="F2158" t="s">
        <v>55</v>
      </c>
      <c r="G2158" t="s">
        <v>104</v>
      </c>
      <c r="I2158" s="42">
        <v>746.99</v>
      </c>
      <c r="J2158" s="42"/>
      <c r="K2158" s="42"/>
      <c r="L2158" s="42">
        <v>746.99</v>
      </c>
      <c r="N2158" s="42">
        <v>746.99</v>
      </c>
    </row>
    <row r="2159" spans="1:14" x14ac:dyDescent="0.25">
      <c r="A2159" s="1">
        <v>46084</v>
      </c>
      <c r="B2159">
        <v>1</v>
      </c>
      <c r="C2159" t="s">
        <v>542</v>
      </c>
      <c r="D2159" t="s">
        <v>336</v>
      </c>
      <c r="E2159" t="s">
        <v>100</v>
      </c>
      <c r="F2159" t="s">
        <v>101</v>
      </c>
      <c r="G2159" t="s">
        <v>13</v>
      </c>
      <c r="I2159" s="42">
        <v>1351.99</v>
      </c>
      <c r="J2159" s="42"/>
      <c r="K2159" s="42"/>
      <c r="L2159" s="42">
        <v>1351.99</v>
      </c>
      <c r="N2159" s="42"/>
    </row>
    <row r="2160" spans="1:14" x14ac:dyDescent="0.25">
      <c r="A2160" s="1">
        <v>46084</v>
      </c>
      <c r="B2160">
        <v>1</v>
      </c>
      <c r="C2160" t="s">
        <v>542</v>
      </c>
      <c r="D2160" t="s">
        <v>136</v>
      </c>
      <c r="E2160" t="s">
        <v>204</v>
      </c>
      <c r="F2160" t="s">
        <v>12</v>
      </c>
      <c r="G2160" t="s">
        <v>13</v>
      </c>
      <c r="I2160" s="42">
        <v>746.99</v>
      </c>
      <c r="J2160" s="42"/>
      <c r="K2160" s="42"/>
      <c r="L2160" s="42">
        <v>746.99</v>
      </c>
      <c r="N2160" s="42"/>
    </row>
    <row r="2161" spans="1:14" x14ac:dyDescent="0.25">
      <c r="A2161" s="1">
        <v>46084</v>
      </c>
      <c r="B2161">
        <v>1</v>
      </c>
      <c r="C2161" t="s">
        <v>541</v>
      </c>
      <c r="D2161" t="s">
        <v>10</v>
      </c>
      <c r="E2161" t="s">
        <v>209</v>
      </c>
      <c r="F2161" t="s">
        <v>33</v>
      </c>
      <c r="G2161" t="s">
        <v>13</v>
      </c>
      <c r="I2161" s="42">
        <v>851.99</v>
      </c>
      <c r="J2161" s="42">
        <v>30</v>
      </c>
      <c r="K2161" s="42"/>
      <c r="L2161" s="42">
        <v>881.99</v>
      </c>
      <c r="N2161" s="42">
        <v>881.99</v>
      </c>
    </row>
    <row r="2162" spans="1:14" x14ac:dyDescent="0.25">
      <c r="A2162" s="1">
        <v>46084</v>
      </c>
      <c r="B2162">
        <v>1</v>
      </c>
      <c r="C2162" t="s">
        <v>541</v>
      </c>
      <c r="D2162" t="s">
        <v>10</v>
      </c>
      <c r="E2162" t="s">
        <v>341</v>
      </c>
      <c r="F2162" t="s">
        <v>52</v>
      </c>
      <c r="G2162" t="s">
        <v>183</v>
      </c>
      <c r="I2162" s="42">
        <v>1251.99</v>
      </c>
      <c r="J2162" s="42">
        <v>60</v>
      </c>
      <c r="K2162" s="42"/>
      <c r="L2162" s="42">
        <v>1311.99</v>
      </c>
      <c r="N2162" s="42">
        <v>1311.99</v>
      </c>
    </row>
    <row r="2163" spans="1:14" x14ac:dyDescent="0.25">
      <c r="A2163" s="1">
        <v>46084</v>
      </c>
      <c r="B2163">
        <v>1</v>
      </c>
      <c r="C2163" t="s">
        <v>541</v>
      </c>
      <c r="D2163" t="s">
        <v>10</v>
      </c>
      <c r="E2163" t="s">
        <v>175</v>
      </c>
      <c r="F2163" t="s">
        <v>52</v>
      </c>
      <c r="G2163" t="s">
        <v>77</v>
      </c>
      <c r="I2163" s="42">
        <v>1251.99</v>
      </c>
      <c r="J2163" s="42"/>
      <c r="K2163" s="42">
        <v>714.32</v>
      </c>
      <c r="L2163" s="42">
        <v>537.66999999999996</v>
      </c>
      <c r="M2163" s="37">
        <v>571.41999999999996</v>
      </c>
      <c r="N2163" s="42">
        <v>537.66999999999996</v>
      </c>
    </row>
    <row r="2164" spans="1:14" x14ac:dyDescent="0.25">
      <c r="A2164" s="1">
        <v>46084</v>
      </c>
      <c r="B2164">
        <v>1</v>
      </c>
      <c r="C2164" t="s">
        <v>541</v>
      </c>
      <c r="D2164" t="s">
        <v>10</v>
      </c>
      <c r="E2164" t="s">
        <v>342</v>
      </c>
      <c r="F2164" t="s">
        <v>41</v>
      </c>
      <c r="G2164" t="s">
        <v>13</v>
      </c>
      <c r="I2164" s="42">
        <v>746.99</v>
      </c>
      <c r="J2164" s="42"/>
      <c r="K2164" s="42"/>
      <c r="L2164" s="42">
        <v>746.99</v>
      </c>
      <c r="N2164" s="42">
        <v>746.99</v>
      </c>
    </row>
    <row r="2165" spans="1:14" x14ac:dyDescent="0.25">
      <c r="A2165" s="1">
        <v>46084</v>
      </c>
      <c r="B2165">
        <v>1</v>
      </c>
      <c r="C2165" t="s">
        <v>541</v>
      </c>
      <c r="D2165" t="s">
        <v>10</v>
      </c>
      <c r="E2165" t="s">
        <v>221</v>
      </c>
      <c r="F2165" t="s">
        <v>37</v>
      </c>
      <c r="G2165" t="s">
        <v>70</v>
      </c>
      <c r="I2165" s="42">
        <v>746.99</v>
      </c>
      <c r="J2165" s="42"/>
      <c r="K2165" s="42"/>
      <c r="L2165" s="42">
        <v>746.99</v>
      </c>
      <c r="M2165" s="37">
        <v>101.89</v>
      </c>
      <c r="N2165" s="42">
        <v>746.99</v>
      </c>
    </row>
    <row r="2166" spans="1:14" x14ac:dyDescent="0.25">
      <c r="A2166" s="1">
        <v>46084</v>
      </c>
      <c r="B2166">
        <v>1</v>
      </c>
      <c r="C2166" t="s">
        <v>541</v>
      </c>
      <c r="D2166" t="s">
        <v>10</v>
      </c>
      <c r="E2166" t="s">
        <v>24</v>
      </c>
      <c r="F2166" t="s">
        <v>25</v>
      </c>
      <c r="G2166" t="s">
        <v>13</v>
      </c>
      <c r="I2166" s="42">
        <v>1351.99</v>
      </c>
      <c r="J2166" s="42"/>
      <c r="K2166" s="42">
        <v>1.99</v>
      </c>
      <c r="L2166" s="42">
        <v>1350</v>
      </c>
      <c r="N2166" s="42">
        <v>1350</v>
      </c>
    </row>
    <row r="2167" spans="1:14" x14ac:dyDescent="0.25">
      <c r="A2167" s="1">
        <v>46084</v>
      </c>
      <c r="B2167">
        <v>1</v>
      </c>
      <c r="C2167" t="s">
        <v>541</v>
      </c>
      <c r="D2167" t="s">
        <v>10</v>
      </c>
      <c r="E2167" t="s">
        <v>164</v>
      </c>
      <c r="F2167" t="s">
        <v>12</v>
      </c>
      <c r="G2167" t="s">
        <v>13</v>
      </c>
      <c r="I2167" s="42">
        <v>746.99</v>
      </c>
      <c r="J2167" s="42"/>
      <c r="K2167" s="42"/>
      <c r="L2167" s="42">
        <v>746.99</v>
      </c>
      <c r="N2167" s="42">
        <v>746.99</v>
      </c>
    </row>
    <row r="2168" spans="1:14" x14ac:dyDescent="0.25">
      <c r="A2168" s="1">
        <v>46084</v>
      </c>
      <c r="B2168">
        <v>1</v>
      </c>
      <c r="C2168" t="s">
        <v>542</v>
      </c>
      <c r="D2168" t="s">
        <v>99</v>
      </c>
      <c r="E2168" t="s">
        <v>263</v>
      </c>
      <c r="F2168" t="s">
        <v>264</v>
      </c>
      <c r="G2168" t="s">
        <v>66</v>
      </c>
      <c r="I2168" s="42">
        <v>746.99</v>
      </c>
      <c r="J2168" s="42"/>
      <c r="K2168" s="42"/>
      <c r="L2168" s="42">
        <v>746.99</v>
      </c>
      <c r="N2168" s="42"/>
    </row>
    <row r="2169" spans="1:14" x14ac:dyDescent="0.25">
      <c r="A2169" s="1">
        <v>46084</v>
      </c>
      <c r="B2169">
        <v>1</v>
      </c>
      <c r="C2169" t="s">
        <v>541</v>
      </c>
      <c r="D2169" t="s">
        <v>10</v>
      </c>
      <c r="E2169" t="s">
        <v>318</v>
      </c>
      <c r="F2169" t="s">
        <v>12</v>
      </c>
      <c r="G2169" t="s">
        <v>346</v>
      </c>
      <c r="I2169" s="42">
        <v>746.99</v>
      </c>
      <c r="J2169" s="42">
        <v>13.01</v>
      </c>
      <c r="K2169" s="42"/>
      <c r="L2169" s="42">
        <v>760</v>
      </c>
      <c r="N2169" s="42">
        <v>760</v>
      </c>
    </row>
    <row r="2170" spans="1:14" x14ac:dyDescent="0.25">
      <c r="A2170" s="1">
        <v>46084</v>
      </c>
      <c r="B2170">
        <v>1</v>
      </c>
      <c r="C2170" t="s">
        <v>541</v>
      </c>
      <c r="D2170" t="s">
        <v>10</v>
      </c>
      <c r="E2170" t="s">
        <v>323</v>
      </c>
      <c r="F2170" t="s">
        <v>158</v>
      </c>
      <c r="G2170" t="s">
        <v>346</v>
      </c>
      <c r="I2170" s="42">
        <v>746.99</v>
      </c>
      <c r="J2170" s="42"/>
      <c r="K2170" s="42"/>
      <c r="L2170" s="42">
        <v>746.99</v>
      </c>
      <c r="N2170" s="42">
        <v>746.99</v>
      </c>
    </row>
    <row r="2171" spans="1:14" x14ac:dyDescent="0.25">
      <c r="A2171" s="1">
        <v>46084</v>
      </c>
      <c r="B2171">
        <v>1</v>
      </c>
      <c r="C2171" t="s">
        <v>541</v>
      </c>
      <c r="D2171" t="s">
        <v>10</v>
      </c>
      <c r="E2171" t="s">
        <v>713</v>
      </c>
      <c r="F2171" t="s">
        <v>41</v>
      </c>
      <c r="G2171" t="s">
        <v>714</v>
      </c>
      <c r="I2171" s="42">
        <v>746.99</v>
      </c>
      <c r="J2171" s="42">
        <v>33</v>
      </c>
      <c r="K2171" s="42"/>
      <c r="L2171" s="42">
        <v>779.99</v>
      </c>
      <c r="N2171" s="42">
        <v>779.99</v>
      </c>
    </row>
    <row r="2172" spans="1:14" x14ac:dyDescent="0.25">
      <c r="A2172" s="1">
        <v>46084</v>
      </c>
      <c r="B2172">
        <v>1</v>
      </c>
      <c r="C2172" t="s">
        <v>542</v>
      </c>
      <c r="D2172" t="s">
        <v>336</v>
      </c>
      <c r="E2172" t="s">
        <v>171</v>
      </c>
      <c r="F2172" t="s">
        <v>52</v>
      </c>
      <c r="G2172" t="s">
        <v>13</v>
      </c>
      <c r="I2172" s="42">
        <v>1251.99</v>
      </c>
      <c r="J2172" s="42"/>
      <c r="K2172" s="42"/>
      <c r="L2172" s="42">
        <v>1251.99</v>
      </c>
      <c r="N2172" s="42"/>
    </row>
    <row r="2173" spans="1:14" x14ac:dyDescent="0.25">
      <c r="A2173" s="1">
        <v>46084</v>
      </c>
      <c r="B2173">
        <v>1</v>
      </c>
      <c r="C2173" t="s">
        <v>541</v>
      </c>
      <c r="D2173" t="s">
        <v>10</v>
      </c>
      <c r="E2173" t="s">
        <v>134</v>
      </c>
      <c r="F2173" t="s">
        <v>69</v>
      </c>
      <c r="G2173" t="s">
        <v>38</v>
      </c>
      <c r="I2173" s="42">
        <v>746.99</v>
      </c>
      <c r="J2173" s="42"/>
      <c r="K2173" s="42"/>
      <c r="L2173" s="42">
        <v>1020</v>
      </c>
      <c r="N2173" s="42">
        <v>746.99</v>
      </c>
    </row>
    <row r="2174" spans="1:14" x14ac:dyDescent="0.25">
      <c r="A2174" s="1">
        <v>46084</v>
      </c>
      <c r="B2174">
        <v>1</v>
      </c>
      <c r="C2174" t="s">
        <v>541</v>
      </c>
      <c r="D2174" t="s">
        <v>10</v>
      </c>
      <c r="E2174" t="s">
        <v>198</v>
      </c>
      <c r="F2174" t="s">
        <v>199</v>
      </c>
      <c r="G2174" t="s">
        <v>38</v>
      </c>
      <c r="I2174" s="42">
        <v>746.99</v>
      </c>
      <c r="J2174" s="42"/>
      <c r="K2174" s="42"/>
      <c r="L2174" s="42">
        <v>1241.99</v>
      </c>
      <c r="N2174" s="42">
        <v>746.99</v>
      </c>
    </row>
    <row r="2175" spans="1:14" x14ac:dyDescent="0.25">
      <c r="A2175" s="1">
        <v>46084</v>
      </c>
      <c r="B2175">
        <v>1</v>
      </c>
      <c r="C2175" t="s">
        <v>541</v>
      </c>
      <c r="D2175" t="s">
        <v>10</v>
      </c>
      <c r="E2175" t="s">
        <v>283</v>
      </c>
      <c r="F2175" t="s">
        <v>76</v>
      </c>
      <c r="G2175" t="s">
        <v>77</v>
      </c>
      <c r="I2175" s="42">
        <v>1451.99</v>
      </c>
      <c r="J2175" s="42"/>
      <c r="K2175" s="42"/>
      <c r="L2175" s="42">
        <v>1946.99</v>
      </c>
      <c r="N2175" s="42">
        <v>1451.99</v>
      </c>
    </row>
    <row r="2176" spans="1:14" x14ac:dyDescent="0.25">
      <c r="A2176" s="1">
        <v>46084</v>
      </c>
      <c r="B2176">
        <v>1</v>
      </c>
      <c r="C2176" t="s">
        <v>542</v>
      </c>
      <c r="D2176" t="s">
        <v>89</v>
      </c>
      <c r="E2176" t="s">
        <v>344</v>
      </c>
      <c r="F2176" t="s">
        <v>116</v>
      </c>
      <c r="G2176" t="s">
        <v>13</v>
      </c>
      <c r="I2176" s="42">
        <v>746.99</v>
      </c>
      <c r="J2176" s="42"/>
      <c r="K2176" s="42"/>
      <c r="L2176" s="42">
        <v>746.99</v>
      </c>
      <c r="N2176" s="42"/>
    </row>
    <row r="2177" spans="1:14" x14ac:dyDescent="0.25">
      <c r="A2177" s="1">
        <v>46084</v>
      </c>
      <c r="B2177">
        <v>1</v>
      </c>
      <c r="C2177" t="s">
        <v>542</v>
      </c>
      <c r="D2177" t="s">
        <v>336</v>
      </c>
      <c r="E2177" t="s">
        <v>49</v>
      </c>
      <c r="F2177" t="s">
        <v>12</v>
      </c>
      <c r="G2177" t="s">
        <v>13</v>
      </c>
      <c r="I2177" s="42">
        <v>746.99</v>
      </c>
      <c r="J2177" s="42"/>
      <c r="K2177" s="42"/>
      <c r="L2177" s="42">
        <v>746.99</v>
      </c>
      <c r="N2177" s="42"/>
    </row>
    <row r="2178" spans="1:14" x14ac:dyDescent="0.25">
      <c r="A2178" s="1">
        <v>46084</v>
      </c>
      <c r="B2178">
        <v>1</v>
      </c>
      <c r="C2178" t="s">
        <v>542</v>
      </c>
      <c r="D2178" t="s">
        <v>99</v>
      </c>
      <c r="E2178" t="s">
        <v>287</v>
      </c>
      <c r="F2178" t="s">
        <v>52</v>
      </c>
      <c r="G2178" t="s">
        <v>77</v>
      </c>
      <c r="I2178" s="42">
        <v>1251.99</v>
      </c>
      <c r="J2178" s="42"/>
      <c r="K2178" s="42"/>
      <c r="L2178" s="42">
        <v>1251.99</v>
      </c>
      <c r="N2178" s="42"/>
    </row>
    <row r="2179" spans="1:14" x14ac:dyDescent="0.25">
      <c r="A2179" s="1">
        <v>46084</v>
      </c>
      <c r="B2179">
        <v>1</v>
      </c>
      <c r="C2179" t="s">
        <v>541</v>
      </c>
      <c r="D2179" t="s">
        <v>10</v>
      </c>
      <c r="E2179" t="s">
        <v>160</v>
      </c>
      <c r="F2179" t="s">
        <v>158</v>
      </c>
      <c r="G2179" t="s">
        <v>22</v>
      </c>
      <c r="I2179" s="42">
        <v>746.99</v>
      </c>
      <c r="J2179" s="42"/>
      <c r="K2179" s="42"/>
      <c r="L2179" s="42">
        <v>1241.99</v>
      </c>
      <c r="N2179" s="42">
        <v>746.99</v>
      </c>
    </row>
    <row r="2180" spans="1:14" x14ac:dyDescent="0.25">
      <c r="A2180" s="1">
        <v>46084</v>
      </c>
      <c r="B2180">
        <v>1</v>
      </c>
      <c r="C2180" t="s">
        <v>542</v>
      </c>
      <c r="D2180" t="s">
        <v>336</v>
      </c>
      <c r="E2180" t="s">
        <v>315</v>
      </c>
      <c r="F2180" t="s">
        <v>41</v>
      </c>
      <c r="G2180" t="s">
        <v>111</v>
      </c>
      <c r="I2180" s="42">
        <v>746.99</v>
      </c>
      <c r="J2180" s="42"/>
      <c r="K2180" s="42"/>
      <c r="L2180" s="42">
        <v>746.99</v>
      </c>
      <c r="N2180" s="42"/>
    </row>
    <row r="2181" spans="1:14" x14ac:dyDescent="0.25">
      <c r="A2181" s="1">
        <v>46084</v>
      </c>
      <c r="B2181">
        <v>1</v>
      </c>
      <c r="C2181" t="s">
        <v>542</v>
      </c>
      <c r="D2181" t="s">
        <v>336</v>
      </c>
      <c r="E2181" t="s">
        <v>173</v>
      </c>
      <c r="F2181" t="s">
        <v>52</v>
      </c>
      <c r="G2181" t="s">
        <v>77</v>
      </c>
      <c r="I2181" s="42">
        <v>1251.99</v>
      </c>
      <c r="J2181" s="42"/>
      <c r="K2181" s="42"/>
      <c r="L2181" s="42">
        <v>1251.99</v>
      </c>
      <c r="N2181" s="42"/>
    </row>
    <row r="2182" spans="1:14" x14ac:dyDescent="0.25">
      <c r="A2182" s="1">
        <v>46084</v>
      </c>
      <c r="B2182">
        <v>1</v>
      </c>
      <c r="C2182" t="s">
        <v>542</v>
      </c>
      <c r="D2182" t="s">
        <v>136</v>
      </c>
      <c r="E2182" t="s">
        <v>247</v>
      </c>
      <c r="F2182" t="s">
        <v>12</v>
      </c>
      <c r="G2182" t="s">
        <v>104</v>
      </c>
      <c r="I2182" s="42">
        <v>746.99</v>
      </c>
      <c r="J2182" s="42"/>
      <c r="K2182" s="42"/>
      <c r="L2182" s="42">
        <v>746.99</v>
      </c>
      <c r="N2182" s="42"/>
    </row>
    <row r="2183" spans="1:14" x14ac:dyDescent="0.25">
      <c r="A2183" s="1">
        <v>46084</v>
      </c>
      <c r="B2183">
        <v>1</v>
      </c>
      <c r="C2183" t="s">
        <v>542</v>
      </c>
      <c r="D2183" t="s">
        <v>136</v>
      </c>
      <c r="E2183" t="s">
        <v>317</v>
      </c>
      <c r="F2183" t="s">
        <v>101</v>
      </c>
      <c r="G2183" t="s">
        <v>13</v>
      </c>
      <c r="I2183" s="42">
        <v>1351.99</v>
      </c>
      <c r="J2183" s="42"/>
      <c r="K2183" s="42"/>
      <c r="L2183" s="42">
        <v>1351.99</v>
      </c>
      <c r="N2183" s="42"/>
    </row>
    <row r="2184" spans="1:14" x14ac:dyDescent="0.25">
      <c r="A2184" s="1">
        <v>46084</v>
      </c>
      <c r="B2184">
        <v>1</v>
      </c>
      <c r="C2184" t="s">
        <v>542</v>
      </c>
      <c r="D2184" t="s">
        <v>99</v>
      </c>
      <c r="E2184" t="s">
        <v>319</v>
      </c>
      <c r="F2184" t="s">
        <v>158</v>
      </c>
      <c r="G2184" t="s">
        <v>13</v>
      </c>
      <c r="I2184" s="42">
        <v>746.99</v>
      </c>
      <c r="J2184" s="42"/>
      <c r="K2184" s="42"/>
      <c r="L2184" s="42">
        <v>746.99</v>
      </c>
      <c r="N2184" s="42"/>
    </row>
    <row r="2185" spans="1:14" x14ac:dyDescent="0.25">
      <c r="A2185" s="1">
        <v>46084</v>
      </c>
      <c r="B2185">
        <v>1</v>
      </c>
      <c r="C2185" t="s">
        <v>541</v>
      </c>
      <c r="D2185" t="s">
        <v>10</v>
      </c>
      <c r="E2185" t="s">
        <v>324</v>
      </c>
      <c r="F2185" t="s">
        <v>158</v>
      </c>
      <c r="G2185" t="s">
        <v>13</v>
      </c>
      <c r="I2185" s="42">
        <v>746.99</v>
      </c>
      <c r="J2185" s="42"/>
      <c r="K2185" s="42"/>
      <c r="L2185" s="42">
        <v>1241.99</v>
      </c>
      <c r="N2185" s="42">
        <v>746.99</v>
      </c>
    </row>
    <row r="2186" spans="1:14" x14ac:dyDescent="0.25">
      <c r="A2186" s="1">
        <v>46084</v>
      </c>
      <c r="B2186">
        <v>1</v>
      </c>
      <c r="C2186" t="s">
        <v>542</v>
      </c>
      <c r="D2186" t="s">
        <v>99</v>
      </c>
      <c r="E2186" t="s">
        <v>325</v>
      </c>
      <c r="F2186" t="s">
        <v>158</v>
      </c>
      <c r="G2186" t="s">
        <v>13</v>
      </c>
      <c r="I2186" s="42">
        <v>746.99</v>
      </c>
      <c r="J2186" s="42"/>
      <c r="K2186" s="42"/>
      <c r="L2186" s="42">
        <v>746.99</v>
      </c>
      <c r="N2186" s="42"/>
    </row>
    <row r="2187" spans="1:14" x14ac:dyDescent="0.25">
      <c r="A2187" s="1">
        <v>46084</v>
      </c>
      <c r="B2187">
        <v>1</v>
      </c>
      <c r="C2187" t="s">
        <v>542</v>
      </c>
      <c r="D2187" t="s">
        <v>99</v>
      </c>
      <c r="E2187" t="s">
        <v>334</v>
      </c>
      <c r="F2187" t="s">
        <v>28</v>
      </c>
      <c r="G2187" t="s">
        <v>13</v>
      </c>
      <c r="I2187" s="42">
        <v>931.99</v>
      </c>
      <c r="J2187" s="42"/>
      <c r="K2187" s="42"/>
      <c r="L2187" s="42">
        <v>931.99</v>
      </c>
      <c r="N2187" s="42"/>
    </row>
    <row r="2188" spans="1:14" x14ac:dyDescent="0.25">
      <c r="A2188" s="1">
        <v>46084</v>
      </c>
      <c r="B2188">
        <v>1</v>
      </c>
      <c r="C2188" t="s">
        <v>542</v>
      </c>
      <c r="D2188" t="s">
        <v>336</v>
      </c>
      <c r="E2188" t="s">
        <v>337</v>
      </c>
      <c r="F2188" t="s">
        <v>41</v>
      </c>
      <c r="G2188" t="s">
        <v>13</v>
      </c>
      <c r="I2188" s="42">
        <v>746.99</v>
      </c>
      <c r="J2188" s="42"/>
      <c r="K2188" s="42"/>
      <c r="L2188" s="42">
        <v>746.99</v>
      </c>
      <c r="N2188" s="42"/>
    </row>
    <row r="2189" spans="1:14" x14ac:dyDescent="0.25">
      <c r="A2189" s="1">
        <v>46084</v>
      </c>
      <c r="B2189">
        <v>1</v>
      </c>
      <c r="C2189" t="s">
        <v>542</v>
      </c>
      <c r="D2189" t="s">
        <v>336</v>
      </c>
      <c r="E2189" t="s">
        <v>338</v>
      </c>
      <c r="F2189" t="s">
        <v>55</v>
      </c>
      <c r="G2189" t="s">
        <v>13</v>
      </c>
      <c r="I2189" s="42">
        <v>746.99</v>
      </c>
      <c r="J2189" s="42"/>
      <c r="K2189" s="42"/>
      <c r="L2189" s="42">
        <v>746.99</v>
      </c>
      <c r="N2189" s="42"/>
    </row>
    <row r="2190" spans="1:14" x14ac:dyDescent="0.25">
      <c r="A2190" s="1">
        <v>46084</v>
      </c>
      <c r="B2190">
        <v>1</v>
      </c>
      <c r="C2190" t="s">
        <v>541</v>
      </c>
      <c r="D2190" t="s">
        <v>10</v>
      </c>
      <c r="E2190" t="s">
        <v>715</v>
      </c>
      <c r="F2190" t="s">
        <v>41</v>
      </c>
      <c r="G2190" t="s">
        <v>714</v>
      </c>
      <c r="I2190" s="42">
        <v>746.99</v>
      </c>
      <c r="J2190" s="42"/>
      <c r="K2190" s="42"/>
      <c r="L2190" s="42">
        <v>1241.99</v>
      </c>
      <c r="M2190" s="37">
        <v>1146.3499999999999</v>
      </c>
      <c r="N2190" s="42">
        <v>746.99</v>
      </c>
    </row>
    <row r="2191" spans="1:14" x14ac:dyDescent="0.25">
      <c r="A2191" s="1">
        <v>46084</v>
      </c>
      <c r="B2191">
        <v>1</v>
      </c>
      <c r="C2191" t="s">
        <v>541</v>
      </c>
      <c r="D2191" t="s">
        <v>10</v>
      </c>
      <c r="E2191" t="s">
        <v>205</v>
      </c>
      <c r="F2191" t="s">
        <v>33</v>
      </c>
      <c r="G2191" t="s">
        <v>13</v>
      </c>
      <c r="I2191" s="42">
        <v>851.99</v>
      </c>
      <c r="J2191" s="42"/>
      <c r="K2191" s="42"/>
      <c r="L2191" s="42">
        <v>1000</v>
      </c>
      <c r="N2191" s="42">
        <v>851.99</v>
      </c>
    </row>
    <row r="2192" spans="1:14" x14ac:dyDescent="0.25">
      <c r="A2192" s="1">
        <v>46091</v>
      </c>
      <c r="B2192">
        <v>2</v>
      </c>
      <c r="C2192" t="s">
        <v>541</v>
      </c>
      <c r="D2192" t="s">
        <v>10</v>
      </c>
      <c r="E2192" t="s">
        <v>345</v>
      </c>
      <c r="F2192" t="s">
        <v>12</v>
      </c>
      <c r="G2192" t="s">
        <v>346</v>
      </c>
      <c r="I2192" s="42">
        <v>746.99</v>
      </c>
      <c r="J2192" s="42">
        <v>30</v>
      </c>
      <c r="K2192" s="42"/>
      <c r="L2192" s="42">
        <v>776.99</v>
      </c>
      <c r="N2192" s="42">
        <v>776.99</v>
      </c>
    </row>
    <row r="2193" spans="1:14" x14ac:dyDescent="0.25">
      <c r="A2193" s="1">
        <v>46091</v>
      </c>
      <c r="B2193">
        <v>2</v>
      </c>
      <c r="C2193" t="s">
        <v>541</v>
      </c>
      <c r="D2193" t="s">
        <v>10</v>
      </c>
      <c r="E2193" t="s">
        <v>351</v>
      </c>
      <c r="F2193" t="s">
        <v>116</v>
      </c>
      <c r="G2193" t="s">
        <v>346</v>
      </c>
      <c r="I2193" s="42">
        <v>746.99</v>
      </c>
      <c r="J2193" s="42"/>
      <c r="K2193" s="42"/>
      <c r="L2193" s="42">
        <v>899.99</v>
      </c>
      <c r="N2193" s="42">
        <v>746.99</v>
      </c>
    </row>
    <row r="2194" spans="1:14" x14ac:dyDescent="0.25">
      <c r="A2194" s="1">
        <v>46091</v>
      </c>
      <c r="B2194">
        <v>2</v>
      </c>
      <c r="C2194" t="s">
        <v>541</v>
      </c>
      <c r="D2194" t="s">
        <v>10</v>
      </c>
      <c r="E2194" t="s">
        <v>352</v>
      </c>
      <c r="F2194" t="s">
        <v>158</v>
      </c>
      <c r="G2194" t="s">
        <v>353</v>
      </c>
      <c r="I2194" s="42">
        <v>746.99</v>
      </c>
      <c r="J2194" s="42">
        <v>30</v>
      </c>
      <c r="K2194" s="42"/>
      <c r="L2194" s="42">
        <v>776.99</v>
      </c>
      <c r="M2194" s="37">
        <v>196.34</v>
      </c>
      <c r="N2194" s="42">
        <v>776.99</v>
      </c>
    </row>
    <row r="2195" spans="1:14" x14ac:dyDescent="0.25">
      <c r="A2195" s="1">
        <v>46091</v>
      </c>
      <c r="B2195">
        <v>2</v>
      </c>
      <c r="C2195" t="s">
        <v>541</v>
      </c>
      <c r="D2195" t="s">
        <v>10</v>
      </c>
      <c r="E2195" t="s">
        <v>354</v>
      </c>
      <c r="F2195" t="s">
        <v>230</v>
      </c>
      <c r="G2195" t="s">
        <v>346</v>
      </c>
      <c r="I2195" s="42">
        <v>746.99</v>
      </c>
      <c r="J2195" s="42">
        <v>0.01</v>
      </c>
      <c r="K2195" s="42"/>
      <c r="L2195" s="42">
        <v>747</v>
      </c>
      <c r="N2195" s="42">
        <v>747</v>
      </c>
    </row>
    <row r="2196" spans="1:14" x14ac:dyDescent="0.25">
      <c r="A2196" s="1">
        <v>46091</v>
      </c>
      <c r="B2196">
        <v>2</v>
      </c>
      <c r="C2196" t="s">
        <v>541</v>
      </c>
      <c r="D2196" t="s">
        <v>10</v>
      </c>
      <c r="E2196" t="s">
        <v>355</v>
      </c>
      <c r="F2196" t="s">
        <v>158</v>
      </c>
      <c r="G2196" t="s">
        <v>346</v>
      </c>
      <c r="I2196" s="42">
        <v>746.99</v>
      </c>
      <c r="J2196" s="42"/>
      <c r="K2196" s="42"/>
      <c r="L2196" s="42">
        <v>746.99</v>
      </c>
      <c r="N2196" s="42">
        <v>746.99</v>
      </c>
    </row>
    <row r="2197" spans="1:14" x14ac:dyDescent="0.25">
      <c r="A2197" s="1">
        <v>46091</v>
      </c>
      <c r="B2197">
        <v>2</v>
      </c>
      <c r="C2197" t="s">
        <v>542</v>
      </c>
      <c r="D2197" t="s">
        <v>99</v>
      </c>
      <c r="E2197" t="s">
        <v>356</v>
      </c>
      <c r="F2197" t="s">
        <v>158</v>
      </c>
      <c r="G2197" t="s">
        <v>346</v>
      </c>
      <c r="I2197" s="42">
        <v>746.99</v>
      </c>
      <c r="J2197" s="42"/>
      <c r="K2197" s="42"/>
      <c r="L2197" s="42">
        <v>746.99</v>
      </c>
      <c r="N2197" s="42"/>
    </row>
    <row r="2198" spans="1:14" x14ac:dyDescent="0.25">
      <c r="A2198" s="1">
        <v>46091</v>
      </c>
      <c r="B2198">
        <v>2</v>
      </c>
      <c r="C2198" t="s">
        <v>541</v>
      </c>
      <c r="D2198" t="s">
        <v>10</v>
      </c>
      <c r="E2198" t="s">
        <v>374</v>
      </c>
      <c r="F2198" t="s">
        <v>158</v>
      </c>
      <c r="G2198" t="s">
        <v>346</v>
      </c>
      <c r="I2198" s="42">
        <v>746.99</v>
      </c>
      <c r="J2198" s="42">
        <v>30.01</v>
      </c>
      <c r="K2198" s="42"/>
      <c r="L2198" s="42">
        <v>777</v>
      </c>
      <c r="N2198" s="42">
        <v>777</v>
      </c>
    </row>
    <row r="2199" spans="1:14" x14ac:dyDescent="0.25">
      <c r="A2199" s="1">
        <v>46091</v>
      </c>
      <c r="B2199">
        <v>2</v>
      </c>
      <c r="C2199" t="s">
        <v>541</v>
      </c>
      <c r="D2199" t="s">
        <v>10</v>
      </c>
      <c r="E2199" t="s">
        <v>358</v>
      </c>
      <c r="F2199" t="s">
        <v>52</v>
      </c>
      <c r="G2199" t="s">
        <v>359</v>
      </c>
      <c r="I2199" s="42">
        <v>1251.99</v>
      </c>
      <c r="J2199" s="42"/>
      <c r="K2199" s="42">
        <v>1.99</v>
      </c>
      <c r="L2199" s="42">
        <v>1250</v>
      </c>
      <c r="M2199" s="37">
        <v>398.46</v>
      </c>
      <c r="N2199" s="42">
        <v>1250</v>
      </c>
    </row>
    <row r="2200" spans="1:14" x14ac:dyDescent="0.25">
      <c r="A2200" s="1">
        <v>46091</v>
      </c>
      <c r="B2200">
        <v>2</v>
      </c>
      <c r="C2200" t="s">
        <v>541</v>
      </c>
      <c r="D2200" t="s">
        <v>10</v>
      </c>
      <c r="E2200" t="s">
        <v>360</v>
      </c>
      <c r="F2200" t="s">
        <v>211</v>
      </c>
      <c r="G2200" t="s">
        <v>346</v>
      </c>
      <c r="I2200" s="42">
        <v>746.99</v>
      </c>
      <c r="J2200" s="42">
        <v>30</v>
      </c>
      <c r="K2200" s="42"/>
      <c r="L2200" s="42">
        <v>776.99</v>
      </c>
      <c r="N2200" s="42">
        <v>776.99</v>
      </c>
    </row>
    <row r="2201" spans="1:14" x14ac:dyDescent="0.25">
      <c r="A2201" s="1">
        <v>46091</v>
      </c>
      <c r="B2201">
        <v>2</v>
      </c>
      <c r="C2201" t="s">
        <v>541</v>
      </c>
      <c r="D2201" t="s">
        <v>10</v>
      </c>
      <c r="E2201" t="s">
        <v>361</v>
      </c>
      <c r="F2201" t="s">
        <v>52</v>
      </c>
      <c r="G2201" t="s">
        <v>346</v>
      </c>
      <c r="I2201" s="42">
        <v>1251.99</v>
      </c>
      <c r="J2201" s="42">
        <v>60.01</v>
      </c>
      <c r="K2201" s="42"/>
      <c r="L2201" s="42">
        <v>1312</v>
      </c>
      <c r="N2201" s="42">
        <v>1312</v>
      </c>
    </row>
    <row r="2202" spans="1:14" x14ac:dyDescent="0.25">
      <c r="A2202" s="1">
        <v>46091</v>
      </c>
      <c r="B2202">
        <v>2</v>
      </c>
      <c r="C2202" t="s">
        <v>541</v>
      </c>
      <c r="D2202" t="s">
        <v>10</v>
      </c>
      <c r="E2202" t="s">
        <v>364</v>
      </c>
      <c r="F2202" t="s">
        <v>365</v>
      </c>
      <c r="G2202" t="s">
        <v>346</v>
      </c>
      <c r="I2202" s="42">
        <v>801.99</v>
      </c>
      <c r="J2202" s="42">
        <v>90</v>
      </c>
      <c r="K2202" s="42"/>
      <c r="L2202" s="42">
        <v>891.99</v>
      </c>
      <c r="N2202" s="42">
        <v>300</v>
      </c>
    </row>
    <row r="2203" spans="1:14" x14ac:dyDescent="0.25">
      <c r="A2203" s="1">
        <v>46091</v>
      </c>
      <c r="B2203">
        <v>2</v>
      </c>
      <c r="C2203" t="s">
        <v>542</v>
      </c>
      <c r="D2203" t="s">
        <v>99</v>
      </c>
      <c r="E2203" t="s">
        <v>366</v>
      </c>
      <c r="F2203" t="s">
        <v>52</v>
      </c>
      <c r="G2203" t="s">
        <v>346</v>
      </c>
      <c r="I2203" s="42">
        <v>1251.99</v>
      </c>
      <c r="J2203" s="42"/>
      <c r="K2203" s="42"/>
      <c r="L2203" s="42">
        <v>1251.99</v>
      </c>
      <c r="N2203" s="42"/>
    </row>
    <row r="2204" spans="1:14" x14ac:dyDescent="0.25">
      <c r="A2204" s="1">
        <v>46091</v>
      </c>
      <c r="B2204">
        <v>2</v>
      </c>
      <c r="C2204" t="s">
        <v>542</v>
      </c>
      <c r="D2204" t="s">
        <v>99</v>
      </c>
      <c r="E2204" t="s">
        <v>375</v>
      </c>
      <c r="F2204" t="s">
        <v>52</v>
      </c>
      <c r="G2204" t="s">
        <v>346</v>
      </c>
      <c r="I2204" s="42">
        <v>1251.99</v>
      </c>
      <c r="J2204" s="42"/>
      <c r="K2204" s="42"/>
      <c r="L2204" s="42">
        <v>1251.99</v>
      </c>
      <c r="N2204" s="42"/>
    </row>
    <row r="2205" spans="1:14" x14ac:dyDescent="0.25">
      <c r="A2205" s="1">
        <v>46091</v>
      </c>
      <c r="B2205">
        <v>2</v>
      </c>
      <c r="C2205" t="s">
        <v>541</v>
      </c>
      <c r="D2205" t="s">
        <v>10</v>
      </c>
      <c r="E2205" t="s">
        <v>376</v>
      </c>
      <c r="F2205" t="s">
        <v>52</v>
      </c>
      <c r="G2205" t="s">
        <v>346</v>
      </c>
      <c r="I2205" s="42">
        <v>1251.99</v>
      </c>
      <c r="J2205" s="42">
        <v>90</v>
      </c>
      <c r="K2205" s="42"/>
      <c r="L2205" s="42">
        <v>1341.99</v>
      </c>
      <c r="N2205" s="42">
        <v>550</v>
      </c>
    </row>
    <row r="2206" spans="1:14" x14ac:dyDescent="0.25">
      <c r="A2206" s="1">
        <v>46091</v>
      </c>
      <c r="B2206">
        <v>2</v>
      </c>
      <c r="C2206" t="s">
        <v>541</v>
      </c>
      <c r="D2206" t="s">
        <v>10</v>
      </c>
      <c r="E2206" t="s">
        <v>372</v>
      </c>
      <c r="F2206" t="s">
        <v>55</v>
      </c>
      <c r="G2206" t="s">
        <v>373</v>
      </c>
      <c r="I2206" s="42">
        <v>746.99</v>
      </c>
      <c r="J2206" s="42"/>
      <c r="K2206" s="42"/>
      <c r="L2206" s="42">
        <v>746.99</v>
      </c>
      <c r="M2206" s="37">
        <v>466.1</v>
      </c>
      <c r="N2206" s="42">
        <v>746.99</v>
      </c>
    </row>
    <row r="2207" spans="1:14" x14ac:dyDescent="0.25">
      <c r="A2207" s="1">
        <v>46091</v>
      </c>
      <c r="B2207">
        <v>2</v>
      </c>
      <c r="C2207" t="s">
        <v>542</v>
      </c>
      <c r="D2207" t="s">
        <v>99</v>
      </c>
      <c r="E2207" t="s">
        <v>410</v>
      </c>
      <c r="F2207" t="s">
        <v>411</v>
      </c>
      <c r="G2207" t="s">
        <v>346</v>
      </c>
      <c r="I2207" s="42">
        <v>1251.99</v>
      </c>
      <c r="J2207" s="42"/>
      <c r="K2207" s="42"/>
      <c r="L2207" s="42">
        <v>1251.99</v>
      </c>
      <c r="N2207" s="42"/>
    </row>
    <row r="2208" spans="1:14" x14ac:dyDescent="0.25">
      <c r="A2208" s="1">
        <v>46091</v>
      </c>
      <c r="B2208">
        <v>2</v>
      </c>
      <c r="C2208" t="s">
        <v>542</v>
      </c>
      <c r="D2208" t="s">
        <v>89</v>
      </c>
      <c r="E2208" t="s">
        <v>505</v>
      </c>
      <c r="F2208" t="s">
        <v>158</v>
      </c>
      <c r="G2208" t="s">
        <v>346</v>
      </c>
      <c r="I2208" s="42">
        <v>746.99</v>
      </c>
      <c r="J2208" s="42"/>
      <c r="K2208" s="42"/>
      <c r="L2208" s="42">
        <v>746.99</v>
      </c>
      <c r="N2208" s="42"/>
    </row>
    <row r="2209" spans="1:14" x14ac:dyDescent="0.25">
      <c r="A2209" s="1">
        <v>46091</v>
      </c>
      <c r="B2209">
        <v>2</v>
      </c>
      <c r="C2209" t="s">
        <v>541</v>
      </c>
      <c r="D2209" t="s">
        <v>10</v>
      </c>
      <c r="E2209" t="s">
        <v>704</v>
      </c>
      <c r="F2209" t="s">
        <v>69</v>
      </c>
      <c r="G2209" t="s">
        <v>705</v>
      </c>
      <c r="I2209" s="42">
        <v>746.99</v>
      </c>
      <c r="J2209" s="42">
        <v>30.01</v>
      </c>
      <c r="K2209" s="42"/>
      <c r="L2209" s="42">
        <v>777</v>
      </c>
      <c r="N2209" s="42">
        <v>777</v>
      </c>
    </row>
    <row r="2210" spans="1:14" x14ac:dyDescent="0.25">
      <c r="A2210" s="1">
        <v>46091</v>
      </c>
      <c r="B2210">
        <v>2</v>
      </c>
      <c r="C2210" t="s">
        <v>541</v>
      </c>
      <c r="D2210" t="s">
        <v>10</v>
      </c>
      <c r="E2210" t="s">
        <v>708</v>
      </c>
      <c r="F2210" t="s">
        <v>709</v>
      </c>
      <c r="G2210" t="s">
        <v>370</v>
      </c>
      <c r="I2210" s="42">
        <v>981.99</v>
      </c>
      <c r="J2210" s="42"/>
      <c r="K2210" s="42"/>
      <c r="L2210" s="42">
        <v>981.99</v>
      </c>
      <c r="N2210" s="42">
        <v>981.99</v>
      </c>
    </row>
    <row r="2211" spans="1:14" x14ac:dyDescent="0.25">
      <c r="A2211" s="1">
        <v>46091</v>
      </c>
      <c r="B2211">
        <v>2</v>
      </c>
      <c r="C2211" t="s">
        <v>541</v>
      </c>
      <c r="D2211" t="s">
        <v>10</v>
      </c>
      <c r="E2211" t="s">
        <v>468</v>
      </c>
      <c r="F2211" t="s">
        <v>469</v>
      </c>
      <c r="G2211" t="s">
        <v>346</v>
      </c>
      <c r="I2211" s="42">
        <v>1001.99</v>
      </c>
      <c r="J2211" s="42"/>
      <c r="K2211" s="42">
        <v>1.99</v>
      </c>
      <c r="L2211" s="42">
        <v>1000</v>
      </c>
      <c r="N2211" s="42">
        <v>1000</v>
      </c>
    </row>
    <row r="2212" spans="1:14" x14ac:dyDescent="0.25">
      <c r="A2212" s="1">
        <v>46091</v>
      </c>
      <c r="B2212">
        <v>2</v>
      </c>
      <c r="C2212" t="s">
        <v>541</v>
      </c>
      <c r="D2212" t="s">
        <v>10</v>
      </c>
      <c r="E2212" t="s">
        <v>466</v>
      </c>
      <c r="F2212" t="s">
        <v>33</v>
      </c>
      <c r="G2212" t="s">
        <v>467</v>
      </c>
      <c r="I2212" s="42">
        <v>851.99</v>
      </c>
      <c r="J2212" s="42"/>
      <c r="K2212" s="42">
        <v>1.99</v>
      </c>
      <c r="L2212" s="42">
        <v>850</v>
      </c>
      <c r="N2212" s="42">
        <v>850</v>
      </c>
    </row>
    <row r="2213" spans="1:14" x14ac:dyDescent="0.25">
      <c r="A2213" s="1">
        <v>46091</v>
      </c>
      <c r="B2213">
        <v>2</v>
      </c>
      <c r="C2213" t="s">
        <v>541</v>
      </c>
      <c r="D2213" t="s">
        <v>10</v>
      </c>
      <c r="E2213" t="s">
        <v>408</v>
      </c>
      <c r="F2213" t="s">
        <v>52</v>
      </c>
      <c r="G2213" t="s">
        <v>409</v>
      </c>
      <c r="I2213" s="42">
        <v>1251.99</v>
      </c>
      <c r="J2213" s="42"/>
      <c r="K2213" s="42">
        <v>716.25</v>
      </c>
      <c r="L2213" s="42">
        <v>535.74</v>
      </c>
      <c r="M2213" s="37">
        <v>399.63</v>
      </c>
      <c r="N2213" s="42">
        <v>535.74</v>
      </c>
    </row>
    <row r="2214" spans="1:14" x14ac:dyDescent="0.25">
      <c r="A2214" s="1">
        <v>46091</v>
      </c>
      <c r="B2214">
        <v>2</v>
      </c>
      <c r="C2214" t="s">
        <v>541</v>
      </c>
      <c r="D2214" t="s">
        <v>10</v>
      </c>
      <c r="E2214" t="s">
        <v>494</v>
      </c>
      <c r="F2214" t="s">
        <v>69</v>
      </c>
      <c r="G2214" t="s">
        <v>349</v>
      </c>
      <c r="I2214" s="42">
        <v>801.99</v>
      </c>
      <c r="J2214" s="42"/>
      <c r="K2214" s="42">
        <v>114.29</v>
      </c>
      <c r="L2214" s="42">
        <v>687.7</v>
      </c>
      <c r="N2214" s="42">
        <v>687.7</v>
      </c>
    </row>
    <row r="2215" spans="1:14" x14ac:dyDescent="0.25">
      <c r="A2215" s="1">
        <v>46091</v>
      </c>
      <c r="B2215">
        <v>2</v>
      </c>
      <c r="C2215" t="s">
        <v>541</v>
      </c>
      <c r="D2215" t="s">
        <v>10</v>
      </c>
      <c r="E2215" t="s">
        <v>711</v>
      </c>
      <c r="F2215" t="s">
        <v>383</v>
      </c>
      <c r="G2215" t="s">
        <v>370</v>
      </c>
      <c r="I2215" s="42">
        <v>991.99</v>
      </c>
      <c r="J2215" s="42"/>
      <c r="K2215" s="42"/>
      <c r="L2215" s="42">
        <v>991.99</v>
      </c>
      <c r="N2215" s="42">
        <v>991.99</v>
      </c>
    </row>
    <row r="2216" spans="1:14" x14ac:dyDescent="0.25">
      <c r="A2216" s="1">
        <v>46091</v>
      </c>
      <c r="B2216">
        <v>2</v>
      </c>
      <c r="C2216" t="s">
        <v>541</v>
      </c>
      <c r="D2216" t="s">
        <v>10</v>
      </c>
      <c r="E2216" t="s">
        <v>477</v>
      </c>
      <c r="F2216" t="s">
        <v>230</v>
      </c>
      <c r="G2216" t="s">
        <v>346</v>
      </c>
      <c r="I2216" s="42">
        <v>746.99</v>
      </c>
      <c r="J2216" s="42"/>
      <c r="K2216" s="42"/>
      <c r="L2216" s="42">
        <v>746.99</v>
      </c>
      <c r="N2216" s="42">
        <v>746.99</v>
      </c>
    </row>
    <row r="2217" spans="1:14" x14ac:dyDescent="0.25">
      <c r="A2217" s="1">
        <v>46091</v>
      </c>
      <c r="B2217">
        <v>2</v>
      </c>
      <c r="C2217" t="s">
        <v>541</v>
      </c>
      <c r="D2217" t="s">
        <v>10</v>
      </c>
      <c r="E2217" t="s">
        <v>531</v>
      </c>
      <c r="F2217" t="s">
        <v>69</v>
      </c>
      <c r="G2217" t="s">
        <v>346</v>
      </c>
      <c r="I2217" s="42">
        <v>746.99</v>
      </c>
      <c r="J2217" s="42"/>
      <c r="K2217" s="42">
        <v>319.29000000000002</v>
      </c>
      <c r="L2217" s="42">
        <v>427.7</v>
      </c>
      <c r="N2217" s="42">
        <v>427.7</v>
      </c>
    </row>
    <row r="2218" spans="1:14" x14ac:dyDescent="0.25">
      <c r="A2218" s="1">
        <v>46091</v>
      </c>
      <c r="B2218">
        <v>2</v>
      </c>
      <c r="C2218" t="s">
        <v>541</v>
      </c>
      <c r="D2218" t="s">
        <v>10</v>
      </c>
      <c r="E2218" t="s">
        <v>379</v>
      </c>
      <c r="F2218" t="s">
        <v>41</v>
      </c>
      <c r="G2218" t="s">
        <v>380</v>
      </c>
      <c r="I2218" s="42">
        <v>746.99</v>
      </c>
      <c r="J2218" s="42">
        <v>30.01</v>
      </c>
      <c r="K2218" s="42"/>
      <c r="L2218" s="42">
        <v>777</v>
      </c>
      <c r="M2218" s="37">
        <v>618.29999999999995</v>
      </c>
      <c r="N2218" s="42">
        <v>777</v>
      </c>
    </row>
    <row r="2219" spans="1:14" x14ac:dyDescent="0.25">
      <c r="A2219" s="1">
        <v>46091</v>
      </c>
      <c r="B2219">
        <v>2</v>
      </c>
      <c r="C2219" t="s">
        <v>541</v>
      </c>
      <c r="D2219" t="s">
        <v>10</v>
      </c>
      <c r="E2219" t="s">
        <v>381</v>
      </c>
      <c r="F2219" t="s">
        <v>41</v>
      </c>
      <c r="G2219" t="s">
        <v>380</v>
      </c>
      <c r="I2219" s="42">
        <v>746.99</v>
      </c>
      <c r="J2219" s="42">
        <v>30</v>
      </c>
      <c r="K2219" s="42"/>
      <c r="L2219" s="42">
        <v>776.99</v>
      </c>
      <c r="N2219" s="42">
        <v>776.99</v>
      </c>
    </row>
    <row r="2220" spans="1:14" x14ac:dyDescent="0.25">
      <c r="A2220" s="1">
        <v>46091</v>
      </c>
      <c r="B2220">
        <v>2</v>
      </c>
      <c r="C2220" t="s">
        <v>541</v>
      </c>
      <c r="D2220" t="s">
        <v>10</v>
      </c>
      <c r="E2220" t="s">
        <v>386</v>
      </c>
      <c r="F2220" t="s">
        <v>387</v>
      </c>
      <c r="G2220" t="s">
        <v>349</v>
      </c>
      <c r="I2220" s="42">
        <v>801.99</v>
      </c>
      <c r="J2220" s="42"/>
      <c r="K2220" s="42"/>
      <c r="L2220" s="42">
        <v>801.99</v>
      </c>
      <c r="N2220" s="42">
        <v>801.99</v>
      </c>
    </row>
    <row r="2221" spans="1:14" x14ac:dyDescent="0.25">
      <c r="A2221" s="1">
        <v>46091</v>
      </c>
      <c r="B2221">
        <v>2</v>
      </c>
      <c r="C2221" t="s">
        <v>541</v>
      </c>
      <c r="D2221" t="s">
        <v>10</v>
      </c>
      <c r="E2221" t="s">
        <v>388</v>
      </c>
      <c r="F2221" t="s">
        <v>41</v>
      </c>
      <c r="G2221" t="s">
        <v>346</v>
      </c>
      <c r="I2221" s="42">
        <v>746.99</v>
      </c>
      <c r="J2221" s="42">
        <v>3.01</v>
      </c>
      <c r="K2221" s="42"/>
      <c r="L2221" s="42">
        <v>750</v>
      </c>
      <c r="N2221" s="42">
        <v>750</v>
      </c>
    </row>
    <row r="2222" spans="1:14" x14ac:dyDescent="0.25">
      <c r="A2222" s="1">
        <v>46091</v>
      </c>
      <c r="B2222">
        <v>2</v>
      </c>
      <c r="C2222" t="s">
        <v>541</v>
      </c>
      <c r="D2222" t="s">
        <v>10</v>
      </c>
      <c r="E2222" t="s">
        <v>389</v>
      </c>
      <c r="F2222" t="s">
        <v>12</v>
      </c>
      <c r="G2222" t="s">
        <v>346</v>
      </c>
      <c r="I2222" s="42">
        <v>746.99</v>
      </c>
      <c r="J2222" s="42">
        <v>30</v>
      </c>
      <c r="K2222" s="42"/>
      <c r="L2222" s="42">
        <v>776.99</v>
      </c>
      <c r="N2222" s="42">
        <v>776.99</v>
      </c>
    </row>
    <row r="2223" spans="1:14" x14ac:dyDescent="0.25">
      <c r="A2223" s="1">
        <v>46091</v>
      </c>
      <c r="B2223">
        <v>2</v>
      </c>
      <c r="C2223" t="s">
        <v>541</v>
      </c>
      <c r="D2223" t="s">
        <v>10</v>
      </c>
      <c r="E2223" t="s">
        <v>524</v>
      </c>
      <c r="F2223" t="s">
        <v>41</v>
      </c>
      <c r="G2223" t="s">
        <v>420</v>
      </c>
      <c r="I2223" s="42">
        <v>746.99</v>
      </c>
      <c r="J2223" s="42"/>
      <c r="K2223" s="42">
        <v>1.99</v>
      </c>
      <c r="L2223" s="42">
        <v>745</v>
      </c>
      <c r="M2223" s="37">
        <v>1000</v>
      </c>
      <c r="N2223" s="42">
        <v>745</v>
      </c>
    </row>
    <row r="2224" spans="1:14" x14ac:dyDescent="0.25">
      <c r="A2224" s="1">
        <v>46091</v>
      </c>
      <c r="B2224">
        <v>2</v>
      </c>
      <c r="C2224" t="s">
        <v>541</v>
      </c>
      <c r="D2224" t="s">
        <v>10</v>
      </c>
      <c r="E2224" t="s">
        <v>391</v>
      </c>
      <c r="F2224" t="s">
        <v>116</v>
      </c>
      <c r="G2224" t="s">
        <v>346</v>
      </c>
      <c r="I2224" s="42">
        <v>746.99</v>
      </c>
      <c r="J2224" s="42"/>
      <c r="K2224" s="42"/>
      <c r="L2224" s="42">
        <v>746.99</v>
      </c>
      <c r="N2224" s="42">
        <v>746.99</v>
      </c>
    </row>
    <row r="2225" spans="1:14" x14ac:dyDescent="0.25">
      <c r="A2225" s="1">
        <v>46091</v>
      </c>
      <c r="B2225">
        <v>2</v>
      </c>
      <c r="C2225" t="s">
        <v>541</v>
      </c>
      <c r="D2225" t="s">
        <v>10</v>
      </c>
      <c r="E2225" t="s">
        <v>396</v>
      </c>
      <c r="F2225" t="s">
        <v>55</v>
      </c>
      <c r="G2225" t="s">
        <v>346</v>
      </c>
      <c r="I2225" s="42">
        <v>746.99</v>
      </c>
      <c r="J2225" s="42">
        <v>60</v>
      </c>
      <c r="K2225" s="42"/>
      <c r="L2225" s="42">
        <v>806.99</v>
      </c>
      <c r="N2225" s="42">
        <v>806.99</v>
      </c>
    </row>
    <row r="2226" spans="1:14" x14ac:dyDescent="0.25">
      <c r="A2226" s="1">
        <v>46091</v>
      </c>
      <c r="B2226">
        <v>2</v>
      </c>
      <c r="C2226" t="s">
        <v>541</v>
      </c>
      <c r="D2226" t="s">
        <v>10</v>
      </c>
      <c r="E2226" t="s">
        <v>397</v>
      </c>
      <c r="F2226" t="s">
        <v>41</v>
      </c>
      <c r="G2226" t="s">
        <v>398</v>
      </c>
      <c r="I2226" s="42">
        <v>746.99</v>
      </c>
      <c r="J2226" s="42"/>
      <c r="K2226" s="42">
        <v>106.43</v>
      </c>
      <c r="L2226" s="42">
        <v>640.55999999999995</v>
      </c>
      <c r="M2226" s="37">
        <v>222.3</v>
      </c>
      <c r="N2226" s="42">
        <v>640.55999999999995</v>
      </c>
    </row>
    <row r="2227" spans="1:14" x14ac:dyDescent="0.25">
      <c r="A2227" s="1">
        <v>46091</v>
      </c>
      <c r="B2227">
        <v>2</v>
      </c>
      <c r="C2227" t="s">
        <v>541</v>
      </c>
      <c r="D2227" t="s">
        <v>10</v>
      </c>
      <c r="E2227" t="s">
        <v>400</v>
      </c>
      <c r="F2227" t="s">
        <v>158</v>
      </c>
      <c r="G2227" t="s">
        <v>346</v>
      </c>
      <c r="I2227" s="42">
        <v>746.99</v>
      </c>
      <c r="J2227" s="42"/>
      <c r="K2227" s="42"/>
      <c r="L2227" s="42">
        <v>746.99</v>
      </c>
      <c r="N2227" s="42">
        <v>746.99</v>
      </c>
    </row>
    <row r="2228" spans="1:14" x14ac:dyDescent="0.25">
      <c r="A2228" s="1">
        <v>46091</v>
      </c>
      <c r="B2228">
        <v>2</v>
      </c>
      <c r="C2228" t="s">
        <v>541</v>
      </c>
      <c r="D2228" t="s">
        <v>10</v>
      </c>
      <c r="E2228" t="s">
        <v>401</v>
      </c>
      <c r="F2228" t="s">
        <v>55</v>
      </c>
      <c r="G2228" t="s">
        <v>346</v>
      </c>
      <c r="I2228" s="42">
        <v>746.99</v>
      </c>
      <c r="J2228" s="42">
        <v>30</v>
      </c>
      <c r="K2228" s="42"/>
      <c r="L2228" s="42">
        <v>776.99</v>
      </c>
      <c r="N2228" s="42">
        <v>776.99</v>
      </c>
    </row>
    <row r="2229" spans="1:14" x14ac:dyDescent="0.25">
      <c r="A2229" s="1">
        <v>46091</v>
      </c>
      <c r="B2229">
        <v>2</v>
      </c>
      <c r="C2229" t="s">
        <v>541</v>
      </c>
      <c r="D2229" t="s">
        <v>10</v>
      </c>
      <c r="E2229" t="s">
        <v>402</v>
      </c>
      <c r="F2229" t="s">
        <v>403</v>
      </c>
      <c r="G2229" t="s">
        <v>346</v>
      </c>
      <c r="I2229" s="42">
        <v>1001.99</v>
      </c>
      <c r="J2229" s="42"/>
      <c r="K2229" s="42">
        <v>430.54</v>
      </c>
      <c r="L2229" s="42">
        <v>571.45000000000005</v>
      </c>
      <c r="N2229" s="42">
        <v>571.45000000000005</v>
      </c>
    </row>
    <row r="2230" spans="1:14" x14ac:dyDescent="0.25">
      <c r="A2230" s="1">
        <v>46091</v>
      </c>
      <c r="B2230">
        <v>2</v>
      </c>
      <c r="C2230" t="s">
        <v>541</v>
      </c>
      <c r="D2230" t="s">
        <v>10</v>
      </c>
      <c r="E2230" t="s">
        <v>404</v>
      </c>
      <c r="F2230" t="s">
        <v>55</v>
      </c>
      <c r="G2230" t="s">
        <v>346</v>
      </c>
      <c r="I2230" s="42">
        <v>746.99</v>
      </c>
      <c r="J2230" s="42">
        <v>0.1</v>
      </c>
      <c r="K2230" s="42"/>
      <c r="L2230" s="42">
        <v>747.09</v>
      </c>
      <c r="N2230" s="42">
        <v>747</v>
      </c>
    </row>
    <row r="2231" spans="1:14" x14ac:dyDescent="0.25">
      <c r="A2231" s="1">
        <v>46091</v>
      </c>
      <c r="B2231">
        <v>2</v>
      </c>
      <c r="C2231" t="s">
        <v>541</v>
      </c>
      <c r="D2231" t="s">
        <v>10</v>
      </c>
      <c r="E2231" t="s">
        <v>406</v>
      </c>
      <c r="F2231" t="s">
        <v>407</v>
      </c>
      <c r="G2231" t="s">
        <v>346</v>
      </c>
      <c r="I2231" s="42">
        <v>801.99</v>
      </c>
      <c r="J2231" s="42"/>
      <c r="K2231" s="42"/>
      <c r="L2231" s="42">
        <v>801.99</v>
      </c>
      <c r="N2231" s="42">
        <v>801.99</v>
      </c>
    </row>
    <row r="2232" spans="1:14" x14ac:dyDescent="0.25">
      <c r="A2232" s="1">
        <v>46091</v>
      </c>
      <c r="B2232">
        <v>2</v>
      </c>
      <c r="C2232" t="s">
        <v>541</v>
      </c>
      <c r="D2232" t="s">
        <v>10</v>
      </c>
      <c r="E2232" t="s">
        <v>510</v>
      </c>
      <c r="F2232" t="s">
        <v>55</v>
      </c>
      <c r="G2232" t="s">
        <v>346</v>
      </c>
      <c r="I2232" s="42">
        <v>746.99</v>
      </c>
      <c r="J2232" s="42"/>
      <c r="K2232" s="42"/>
      <c r="L2232" s="42">
        <v>746.99</v>
      </c>
      <c r="N2232" s="42">
        <v>746.99</v>
      </c>
    </row>
    <row r="2233" spans="1:14" x14ac:dyDescent="0.25">
      <c r="A2233" s="1">
        <v>46091</v>
      </c>
      <c r="B2233">
        <v>2</v>
      </c>
      <c r="C2233" t="s">
        <v>541</v>
      </c>
      <c r="D2233" t="s">
        <v>10</v>
      </c>
      <c r="E2233" t="s">
        <v>445</v>
      </c>
      <c r="F2233" t="s">
        <v>52</v>
      </c>
      <c r="G2233" t="s">
        <v>346</v>
      </c>
      <c r="I2233" s="42">
        <v>1251.99</v>
      </c>
      <c r="J2233" s="42">
        <v>30.01</v>
      </c>
      <c r="K2233" s="42"/>
      <c r="L2233" s="42">
        <v>1282</v>
      </c>
      <c r="N2233" s="42">
        <v>1282</v>
      </c>
    </row>
    <row r="2234" spans="1:14" x14ac:dyDescent="0.25">
      <c r="A2234" s="1">
        <v>46091</v>
      </c>
      <c r="B2234">
        <v>2</v>
      </c>
      <c r="C2234" t="s">
        <v>541</v>
      </c>
      <c r="D2234" t="s">
        <v>10</v>
      </c>
      <c r="E2234" t="s">
        <v>503</v>
      </c>
      <c r="F2234" t="s">
        <v>69</v>
      </c>
      <c r="G2234" t="s">
        <v>349</v>
      </c>
      <c r="I2234" s="42">
        <v>801.99</v>
      </c>
      <c r="J2234" s="42">
        <v>0.01</v>
      </c>
      <c r="K2234" s="42"/>
      <c r="L2234" s="42">
        <v>802</v>
      </c>
      <c r="N2234" s="42">
        <v>802</v>
      </c>
    </row>
    <row r="2235" spans="1:14" x14ac:dyDescent="0.25">
      <c r="A2235" s="1">
        <v>46091</v>
      </c>
      <c r="B2235">
        <v>2</v>
      </c>
      <c r="C2235" t="s">
        <v>541</v>
      </c>
      <c r="D2235" t="s">
        <v>10</v>
      </c>
      <c r="E2235" t="s">
        <v>413</v>
      </c>
      <c r="F2235" t="s">
        <v>211</v>
      </c>
      <c r="G2235" t="s">
        <v>414</v>
      </c>
      <c r="I2235" s="42">
        <v>746.99</v>
      </c>
      <c r="J2235" s="42">
        <v>60.01</v>
      </c>
      <c r="K2235" s="42"/>
      <c r="L2235" s="42">
        <v>807</v>
      </c>
      <c r="M2235" s="37">
        <v>199.49</v>
      </c>
      <c r="N2235" s="42">
        <v>807</v>
      </c>
    </row>
    <row r="2236" spans="1:14" x14ac:dyDescent="0.25">
      <c r="A2236" s="1">
        <v>46091</v>
      </c>
      <c r="B2236">
        <v>2</v>
      </c>
      <c r="C2236" t="s">
        <v>541</v>
      </c>
      <c r="D2236" t="s">
        <v>10</v>
      </c>
      <c r="E2236" t="s">
        <v>415</v>
      </c>
      <c r="F2236" t="s">
        <v>416</v>
      </c>
      <c r="G2236" t="s">
        <v>370</v>
      </c>
      <c r="I2236" s="42">
        <v>931.99</v>
      </c>
      <c r="J2236" s="42">
        <v>30.01</v>
      </c>
      <c r="K2236" s="42"/>
      <c r="L2236" s="42">
        <v>962</v>
      </c>
      <c r="N2236" s="42">
        <v>962</v>
      </c>
    </row>
    <row r="2237" spans="1:14" x14ac:dyDescent="0.25">
      <c r="A2237" s="1">
        <v>46091</v>
      </c>
      <c r="B2237">
        <v>2</v>
      </c>
      <c r="C2237" t="s">
        <v>541</v>
      </c>
      <c r="D2237" t="s">
        <v>10</v>
      </c>
      <c r="E2237" t="s">
        <v>384</v>
      </c>
      <c r="F2237" t="s">
        <v>385</v>
      </c>
      <c r="G2237" t="s">
        <v>349</v>
      </c>
      <c r="I2237" s="42">
        <v>801.99</v>
      </c>
      <c r="J2237" s="42"/>
      <c r="K2237" s="42"/>
      <c r="L2237" s="42">
        <v>1000</v>
      </c>
      <c r="N2237" s="42">
        <v>801.99</v>
      </c>
    </row>
    <row r="2238" spans="1:14" x14ac:dyDescent="0.25">
      <c r="A2238" s="1">
        <v>46091</v>
      </c>
      <c r="B2238">
        <v>2</v>
      </c>
      <c r="C2238" t="s">
        <v>541</v>
      </c>
      <c r="D2238" t="s">
        <v>10</v>
      </c>
      <c r="E2238" t="s">
        <v>459</v>
      </c>
      <c r="F2238" t="s">
        <v>426</v>
      </c>
      <c r="G2238" t="s">
        <v>363</v>
      </c>
      <c r="I2238" s="42">
        <v>746.99</v>
      </c>
      <c r="J2238" s="42">
        <v>0.01</v>
      </c>
      <c r="K2238" s="42"/>
      <c r="L2238" s="42">
        <v>747</v>
      </c>
      <c r="N2238" s="42">
        <v>747</v>
      </c>
    </row>
    <row r="2239" spans="1:14" x14ac:dyDescent="0.25">
      <c r="A2239" s="1">
        <v>46091</v>
      </c>
      <c r="B2239">
        <v>2</v>
      </c>
      <c r="C2239" t="s">
        <v>541</v>
      </c>
      <c r="D2239" t="s">
        <v>10</v>
      </c>
      <c r="E2239" t="s">
        <v>395</v>
      </c>
      <c r="F2239" t="s">
        <v>158</v>
      </c>
      <c r="G2239" t="s">
        <v>346</v>
      </c>
      <c r="I2239" s="42">
        <v>746.99</v>
      </c>
      <c r="J2239" s="42"/>
      <c r="K2239" s="42">
        <v>106.43</v>
      </c>
      <c r="L2239" s="42">
        <v>640.55999999999995</v>
      </c>
      <c r="N2239" s="42">
        <v>640.55999999999995</v>
      </c>
    </row>
    <row r="2240" spans="1:14" x14ac:dyDescent="0.25">
      <c r="A2240" s="1">
        <v>46091</v>
      </c>
      <c r="B2240">
        <v>2</v>
      </c>
      <c r="C2240" t="s">
        <v>541</v>
      </c>
      <c r="D2240" t="s">
        <v>10</v>
      </c>
      <c r="E2240" t="s">
        <v>529</v>
      </c>
      <c r="F2240" t="s">
        <v>55</v>
      </c>
      <c r="G2240" t="s">
        <v>346</v>
      </c>
      <c r="I2240" s="42">
        <v>746.99</v>
      </c>
      <c r="J2240" s="42"/>
      <c r="K2240" s="42"/>
      <c r="L2240" s="42">
        <v>746.99</v>
      </c>
      <c r="N2240" s="42">
        <v>746.99</v>
      </c>
    </row>
    <row r="2241" spans="1:14" x14ac:dyDescent="0.25">
      <c r="A2241" s="1">
        <v>46091</v>
      </c>
      <c r="B2241">
        <v>2</v>
      </c>
      <c r="C2241" t="s">
        <v>541</v>
      </c>
      <c r="D2241" t="s">
        <v>10</v>
      </c>
      <c r="E2241" t="s">
        <v>405</v>
      </c>
      <c r="F2241" t="s">
        <v>52</v>
      </c>
      <c r="G2241" t="s">
        <v>346</v>
      </c>
      <c r="I2241" s="42">
        <v>1251.99</v>
      </c>
      <c r="J2241" s="42"/>
      <c r="K2241" s="42"/>
      <c r="L2241" s="42">
        <v>1251.99</v>
      </c>
      <c r="N2241" s="42">
        <v>1251.99</v>
      </c>
    </row>
    <row r="2242" spans="1:14" x14ac:dyDescent="0.25">
      <c r="A2242" s="1">
        <v>46091</v>
      </c>
      <c r="B2242">
        <v>2</v>
      </c>
      <c r="C2242" t="s">
        <v>541</v>
      </c>
      <c r="D2242" t="s">
        <v>10</v>
      </c>
      <c r="E2242" t="s">
        <v>482</v>
      </c>
      <c r="F2242" t="s">
        <v>158</v>
      </c>
      <c r="G2242" t="s">
        <v>346</v>
      </c>
      <c r="I2242" s="42">
        <v>746.99</v>
      </c>
      <c r="J2242" s="42"/>
      <c r="K2242" s="42">
        <v>1.99</v>
      </c>
      <c r="L2242" s="42">
        <v>745</v>
      </c>
      <c r="N2242" s="42">
        <v>745</v>
      </c>
    </row>
    <row r="2243" spans="1:14" x14ac:dyDescent="0.25">
      <c r="A2243" s="1">
        <v>46091</v>
      </c>
      <c r="B2243">
        <v>2</v>
      </c>
      <c r="C2243" t="s">
        <v>541</v>
      </c>
      <c r="D2243" t="s">
        <v>10</v>
      </c>
      <c r="E2243" t="s">
        <v>720</v>
      </c>
      <c r="F2243" t="s">
        <v>28</v>
      </c>
      <c r="G2243" t="s">
        <v>721</v>
      </c>
      <c r="I2243" s="42">
        <v>991.99</v>
      </c>
      <c r="J2243" s="42"/>
      <c r="K2243" s="42">
        <v>283.42</v>
      </c>
      <c r="L2243" s="42">
        <v>708.57</v>
      </c>
      <c r="M2243" s="37">
        <v>222.3</v>
      </c>
      <c r="N2243" s="42">
        <v>708.57</v>
      </c>
    </row>
    <row r="2244" spans="1:14" x14ac:dyDescent="0.25">
      <c r="A2244" s="1">
        <v>46091</v>
      </c>
      <c r="B2244">
        <v>2</v>
      </c>
      <c r="C2244" t="s">
        <v>541</v>
      </c>
      <c r="D2244" t="s">
        <v>10</v>
      </c>
      <c r="E2244" t="s">
        <v>436</v>
      </c>
      <c r="F2244" t="s">
        <v>116</v>
      </c>
      <c r="G2244" t="s">
        <v>346</v>
      </c>
      <c r="I2244" s="42">
        <v>746.99</v>
      </c>
      <c r="J2244" s="42"/>
      <c r="K2244" s="42"/>
      <c r="L2244" s="42">
        <v>746.99</v>
      </c>
      <c r="N2244" s="42"/>
    </row>
    <row r="2245" spans="1:14" x14ac:dyDescent="0.25">
      <c r="A2245" s="1">
        <v>46091</v>
      </c>
      <c r="B2245">
        <v>2</v>
      </c>
      <c r="C2245" t="s">
        <v>541</v>
      </c>
      <c r="D2245" t="s">
        <v>10</v>
      </c>
      <c r="E2245" t="s">
        <v>532</v>
      </c>
      <c r="F2245" t="s">
        <v>55</v>
      </c>
      <c r="G2245" t="s">
        <v>346</v>
      </c>
      <c r="I2245" s="42">
        <v>746.99</v>
      </c>
      <c r="J2245" s="42"/>
      <c r="K2245" s="42"/>
      <c r="L2245" s="42">
        <v>746.99</v>
      </c>
      <c r="N2245" s="42">
        <v>746.99</v>
      </c>
    </row>
    <row r="2246" spans="1:14" x14ac:dyDescent="0.25">
      <c r="A2246" s="1">
        <v>46091</v>
      </c>
      <c r="B2246">
        <v>2</v>
      </c>
      <c r="C2246" t="s">
        <v>541</v>
      </c>
      <c r="D2246" t="s">
        <v>10</v>
      </c>
      <c r="E2246" t="s">
        <v>710</v>
      </c>
      <c r="F2246" t="s">
        <v>52</v>
      </c>
      <c r="G2246" t="s">
        <v>515</v>
      </c>
      <c r="I2246" s="42">
        <v>1251.99</v>
      </c>
      <c r="J2246" s="42"/>
      <c r="K2246" s="42"/>
      <c r="L2246" s="42">
        <v>1251.99</v>
      </c>
      <c r="N2246" s="42">
        <v>1251.99</v>
      </c>
    </row>
    <row r="2247" spans="1:14" x14ac:dyDescent="0.25">
      <c r="A2247" s="1">
        <v>46091</v>
      </c>
      <c r="B2247">
        <v>2</v>
      </c>
      <c r="C2247" t="s">
        <v>541</v>
      </c>
      <c r="D2247" t="s">
        <v>10</v>
      </c>
      <c r="E2247" t="s">
        <v>382</v>
      </c>
      <c r="F2247" t="s">
        <v>383</v>
      </c>
      <c r="G2247" t="s">
        <v>349</v>
      </c>
      <c r="I2247" s="42">
        <v>981.99</v>
      </c>
      <c r="J2247" s="42"/>
      <c r="K2247" s="42"/>
      <c r="L2247" s="42">
        <v>981.99</v>
      </c>
      <c r="N2247" s="42">
        <v>981.99</v>
      </c>
    </row>
    <row r="2248" spans="1:14" x14ac:dyDescent="0.25">
      <c r="A2248" s="1">
        <v>46091</v>
      </c>
      <c r="B2248">
        <v>2</v>
      </c>
      <c r="C2248" t="s">
        <v>541</v>
      </c>
      <c r="D2248" t="s">
        <v>10</v>
      </c>
      <c r="E2248" t="s">
        <v>419</v>
      </c>
      <c r="F2248" t="s">
        <v>94</v>
      </c>
      <c r="G2248" t="s">
        <v>420</v>
      </c>
      <c r="I2248" s="42">
        <v>746.99</v>
      </c>
      <c r="J2248" s="42">
        <v>30</v>
      </c>
      <c r="K2248" s="42"/>
      <c r="L2248" s="42">
        <v>776.99</v>
      </c>
      <c r="N2248" s="42">
        <v>776.99</v>
      </c>
    </row>
    <row r="2249" spans="1:14" x14ac:dyDescent="0.25">
      <c r="A2249" s="1">
        <v>46091</v>
      </c>
      <c r="B2249">
        <v>2</v>
      </c>
      <c r="C2249" t="s">
        <v>541</v>
      </c>
      <c r="D2249" t="s">
        <v>10</v>
      </c>
      <c r="E2249" t="s">
        <v>418</v>
      </c>
      <c r="F2249" t="s">
        <v>33</v>
      </c>
      <c r="G2249" t="s">
        <v>346</v>
      </c>
      <c r="I2249" s="42">
        <v>851.99</v>
      </c>
      <c r="J2249" s="42"/>
      <c r="K2249" s="42"/>
      <c r="L2249" s="42">
        <v>851.99</v>
      </c>
      <c r="N2249" s="42">
        <v>851.99</v>
      </c>
    </row>
    <row r="2250" spans="1:14" x14ac:dyDescent="0.25">
      <c r="A2250" s="1">
        <v>46091</v>
      </c>
      <c r="B2250">
        <v>2</v>
      </c>
      <c r="C2250" t="s">
        <v>541</v>
      </c>
      <c r="D2250" t="s">
        <v>10</v>
      </c>
      <c r="E2250" t="s">
        <v>425</v>
      </c>
      <c r="F2250" t="s">
        <v>426</v>
      </c>
      <c r="G2250" t="s">
        <v>349</v>
      </c>
      <c r="I2250" s="42">
        <v>881.99</v>
      </c>
      <c r="J2250" s="42"/>
      <c r="K2250" s="42"/>
      <c r="L2250" s="42">
        <v>881.99</v>
      </c>
      <c r="N2250" s="42">
        <v>881.99</v>
      </c>
    </row>
    <row r="2251" spans="1:14" x14ac:dyDescent="0.25">
      <c r="A2251" s="1">
        <v>46091</v>
      </c>
      <c r="B2251">
        <v>2</v>
      </c>
      <c r="C2251" t="s">
        <v>541</v>
      </c>
      <c r="D2251" t="s">
        <v>10</v>
      </c>
      <c r="E2251" t="s">
        <v>428</v>
      </c>
      <c r="F2251" t="s">
        <v>69</v>
      </c>
      <c r="G2251" t="s">
        <v>378</v>
      </c>
      <c r="I2251" s="42">
        <v>746.99</v>
      </c>
      <c r="J2251" s="42"/>
      <c r="K2251" s="42">
        <v>1.99</v>
      </c>
      <c r="L2251" s="42">
        <v>745</v>
      </c>
      <c r="N2251" s="42">
        <v>745</v>
      </c>
    </row>
    <row r="2252" spans="1:14" x14ac:dyDescent="0.25">
      <c r="A2252" s="1">
        <v>46091</v>
      </c>
      <c r="B2252">
        <v>2</v>
      </c>
      <c r="C2252" t="s">
        <v>541</v>
      </c>
      <c r="D2252" t="s">
        <v>10</v>
      </c>
      <c r="E2252" t="s">
        <v>525</v>
      </c>
      <c r="F2252" t="s">
        <v>158</v>
      </c>
      <c r="G2252" t="s">
        <v>346</v>
      </c>
      <c r="I2252" s="42">
        <v>746.99</v>
      </c>
      <c r="J2252" s="42"/>
      <c r="K2252" s="42"/>
      <c r="L2252" s="42">
        <v>746.99</v>
      </c>
      <c r="N2252" s="42">
        <v>746.99</v>
      </c>
    </row>
    <row r="2253" spans="1:14" x14ac:dyDescent="0.25">
      <c r="A2253" s="1">
        <v>46091</v>
      </c>
      <c r="B2253">
        <v>2</v>
      </c>
      <c r="C2253" t="s">
        <v>541</v>
      </c>
      <c r="D2253" t="s">
        <v>10</v>
      </c>
      <c r="E2253" t="s">
        <v>424</v>
      </c>
      <c r="F2253" t="s">
        <v>12</v>
      </c>
      <c r="G2253" t="s">
        <v>346</v>
      </c>
      <c r="I2253" s="42">
        <v>746.99</v>
      </c>
      <c r="J2253" s="42"/>
      <c r="K2253" s="42">
        <v>105.99</v>
      </c>
      <c r="L2253" s="42">
        <v>641</v>
      </c>
      <c r="N2253" s="42">
        <v>641</v>
      </c>
    </row>
    <row r="2254" spans="1:14" x14ac:dyDescent="0.25">
      <c r="A2254" s="1">
        <v>46091</v>
      </c>
      <c r="B2254">
        <v>2</v>
      </c>
      <c r="C2254" t="s">
        <v>541</v>
      </c>
      <c r="D2254" t="s">
        <v>10</v>
      </c>
      <c r="E2254" t="s">
        <v>394</v>
      </c>
      <c r="F2254" t="s">
        <v>158</v>
      </c>
      <c r="G2254" t="s">
        <v>346</v>
      </c>
      <c r="I2254" s="42">
        <v>746.99</v>
      </c>
      <c r="J2254" s="42"/>
      <c r="K2254" s="42">
        <v>1.99</v>
      </c>
      <c r="L2254" s="42">
        <v>745</v>
      </c>
      <c r="N2254" s="42">
        <v>745</v>
      </c>
    </row>
    <row r="2255" spans="1:14" x14ac:dyDescent="0.25">
      <c r="A2255" s="1">
        <v>46091</v>
      </c>
      <c r="B2255">
        <v>2</v>
      </c>
      <c r="C2255" t="s">
        <v>541</v>
      </c>
      <c r="D2255" t="s">
        <v>10</v>
      </c>
      <c r="E2255" t="s">
        <v>430</v>
      </c>
      <c r="F2255" t="s">
        <v>158</v>
      </c>
      <c r="G2255" t="s">
        <v>346</v>
      </c>
      <c r="I2255" s="42">
        <v>746.99</v>
      </c>
      <c r="J2255" s="42"/>
      <c r="K2255" s="42"/>
      <c r="L2255" s="42">
        <v>746.99</v>
      </c>
      <c r="N2255" s="42">
        <v>746.99</v>
      </c>
    </row>
    <row r="2256" spans="1:14" x14ac:dyDescent="0.25">
      <c r="A2256" s="1">
        <v>46091</v>
      </c>
      <c r="B2256">
        <v>2</v>
      </c>
      <c r="C2256" t="s">
        <v>541</v>
      </c>
      <c r="D2256" t="s">
        <v>10</v>
      </c>
      <c r="E2256" t="s">
        <v>432</v>
      </c>
      <c r="F2256" t="s">
        <v>55</v>
      </c>
      <c r="G2256" t="s">
        <v>433</v>
      </c>
      <c r="I2256" s="42">
        <v>746.99</v>
      </c>
      <c r="J2256" s="42">
        <v>0.01</v>
      </c>
      <c r="K2256" s="42"/>
      <c r="L2256" s="42">
        <v>747</v>
      </c>
      <c r="M2256" s="37">
        <v>545.77</v>
      </c>
      <c r="N2256" s="42"/>
    </row>
    <row r="2257" spans="1:14" x14ac:dyDescent="0.25">
      <c r="A2257" s="1">
        <v>46091</v>
      </c>
      <c r="B2257">
        <v>2</v>
      </c>
      <c r="C2257" t="s">
        <v>541</v>
      </c>
      <c r="D2257" t="s">
        <v>10</v>
      </c>
      <c r="E2257" t="s">
        <v>434</v>
      </c>
      <c r="F2257" t="s">
        <v>55</v>
      </c>
      <c r="G2257" t="s">
        <v>346</v>
      </c>
      <c r="I2257" s="42">
        <v>746.99</v>
      </c>
      <c r="J2257" s="42">
        <v>30</v>
      </c>
      <c r="K2257" s="42"/>
      <c r="L2257" s="42">
        <v>776.99</v>
      </c>
      <c r="N2257" s="42">
        <v>776.99</v>
      </c>
    </row>
    <row r="2258" spans="1:14" x14ac:dyDescent="0.25">
      <c r="A2258" s="1">
        <v>46091</v>
      </c>
      <c r="B2258">
        <v>2</v>
      </c>
      <c r="C2258" t="s">
        <v>541</v>
      </c>
      <c r="D2258" t="s">
        <v>10</v>
      </c>
      <c r="E2258" t="s">
        <v>437</v>
      </c>
      <c r="F2258" t="s">
        <v>12</v>
      </c>
      <c r="G2258" t="s">
        <v>346</v>
      </c>
      <c r="I2258" s="42">
        <v>746.99</v>
      </c>
      <c r="J2258" s="42"/>
      <c r="K2258" s="42">
        <v>1.99</v>
      </c>
      <c r="L2258" s="42">
        <v>745</v>
      </c>
      <c r="N2258" s="42">
        <v>745</v>
      </c>
    </row>
    <row r="2259" spans="1:14" x14ac:dyDescent="0.25">
      <c r="A2259" s="1">
        <v>46091</v>
      </c>
      <c r="B2259">
        <v>2</v>
      </c>
      <c r="C2259" t="s">
        <v>541</v>
      </c>
      <c r="D2259" t="s">
        <v>10</v>
      </c>
      <c r="E2259" t="s">
        <v>435</v>
      </c>
      <c r="F2259" t="s">
        <v>41</v>
      </c>
      <c r="G2259" t="s">
        <v>398</v>
      </c>
      <c r="I2259" s="42">
        <v>746.99</v>
      </c>
      <c r="J2259" s="42">
        <v>60</v>
      </c>
      <c r="K2259" s="42"/>
      <c r="L2259" s="42">
        <v>806.99</v>
      </c>
      <c r="N2259" s="42">
        <v>806.99</v>
      </c>
    </row>
    <row r="2260" spans="1:14" x14ac:dyDescent="0.25">
      <c r="A2260" s="1">
        <v>46091</v>
      </c>
      <c r="B2260">
        <v>2</v>
      </c>
      <c r="C2260" t="s">
        <v>541</v>
      </c>
      <c r="D2260" t="s">
        <v>10</v>
      </c>
      <c r="E2260" t="s">
        <v>438</v>
      </c>
      <c r="F2260" t="s">
        <v>52</v>
      </c>
      <c r="G2260" t="s">
        <v>359</v>
      </c>
      <c r="I2260" s="42">
        <v>1251.99</v>
      </c>
      <c r="J2260" s="42"/>
      <c r="K2260" s="42">
        <v>178.58</v>
      </c>
      <c r="L2260" s="42">
        <v>1073.4100000000001</v>
      </c>
      <c r="N2260" s="42">
        <v>1073.4100000000001</v>
      </c>
    </row>
    <row r="2261" spans="1:14" x14ac:dyDescent="0.25">
      <c r="A2261" s="1">
        <v>46091</v>
      </c>
      <c r="B2261">
        <v>2</v>
      </c>
      <c r="C2261" t="s">
        <v>541</v>
      </c>
      <c r="D2261" t="s">
        <v>10</v>
      </c>
      <c r="E2261" t="s">
        <v>442</v>
      </c>
      <c r="F2261" t="s">
        <v>52</v>
      </c>
      <c r="G2261" t="s">
        <v>346</v>
      </c>
      <c r="I2261" s="42">
        <v>1251.99</v>
      </c>
      <c r="J2261" s="42"/>
      <c r="K2261" s="42">
        <v>1.99</v>
      </c>
      <c r="L2261" s="42">
        <v>1250</v>
      </c>
      <c r="N2261" s="42">
        <v>1250</v>
      </c>
    </row>
    <row r="2262" spans="1:14" x14ac:dyDescent="0.25">
      <c r="A2262" s="1">
        <v>46091</v>
      </c>
      <c r="B2262">
        <v>2</v>
      </c>
      <c r="C2262" t="s">
        <v>541</v>
      </c>
      <c r="D2262" t="s">
        <v>10</v>
      </c>
      <c r="E2262" t="s">
        <v>441</v>
      </c>
      <c r="F2262" t="s">
        <v>52</v>
      </c>
      <c r="G2262" t="s">
        <v>346</v>
      </c>
      <c r="I2262" s="42">
        <v>1251.99</v>
      </c>
      <c r="J2262" s="42">
        <v>30</v>
      </c>
      <c r="K2262" s="42"/>
      <c r="L2262" s="42">
        <v>1281.99</v>
      </c>
      <c r="N2262" s="42">
        <v>1281.99</v>
      </c>
    </row>
    <row r="2263" spans="1:14" x14ac:dyDescent="0.25">
      <c r="A2263" s="1">
        <v>46091</v>
      </c>
      <c r="B2263">
        <v>2</v>
      </c>
      <c r="C2263" t="s">
        <v>541</v>
      </c>
      <c r="D2263" t="s">
        <v>10</v>
      </c>
      <c r="E2263" t="s">
        <v>443</v>
      </c>
      <c r="F2263" t="s">
        <v>52</v>
      </c>
      <c r="G2263" t="s">
        <v>346</v>
      </c>
      <c r="I2263" s="42">
        <v>1251.99</v>
      </c>
      <c r="J2263" s="42"/>
      <c r="K2263" s="42">
        <v>535.74</v>
      </c>
      <c r="L2263" s="42">
        <v>716.25</v>
      </c>
      <c r="N2263" s="42">
        <v>716.25</v>
      </c>
    </row>
    <row r="2264" spans="1:14" x14ac:dyDescent="0.25">
      <c r="A2264" s="1">
        <v>46091</v>
      </c>
      <c r="B2264">
        <v>2</v>
      </c>
      <c r="C2264" t="s">
        <v>541</v>
      </c>
      <c r="D2264" t="s">
        <v>10</v>
      </c>
      <c r="E2264" t="s">
        <v>444</v>
      </c>
      <c r="F2264" t="s">
        <v>52</v>
      </c>
      <c r="G2264" t="s">
        <v>409</v>
      </c>
      <c r="I2264" s="42">
        <v>1251.99</v>
      </c>
      <c r="J2264" s="42">
        <v>30.01</v>
      </c>
      <c r="K2264" s="42"/>
      <c r="L2264" s="42">
        <v>1282</v>
      </c>
      <c r="N2264" s="42">
        <v>1282</v>
      </c>
    </row>
    <row r="2265" spans="1:14" x14ac:dyDescent="0.25">
      <c r="A2265" s="1">
        <v>46091</v>
      </c>
      <c r="B2265">
        <v>2</v>
      </c>
      <c r="C2265" t="s">
        <v>541</v>
      </c>
      <c r="D2265" t="s">
        <v>10</v>
      </c>
      <c r="E2265" t="s">
        <v>446</v>
      </c>
      <c r="F2265" t="s">
        <v>447</v>
      </c>
      <c r="G2265" t="s">
        <v>349</v>
      </c>
      <c r="I2265" s="42">
        <v>851.99</v>
      </c>
      <c r="J2265" s="42"/>
      <c r="K2265" s="42"/>
      <c r="L2265" s="42">
        <v>851.99</v>
      </c>
      <c r="N2265" s="42">
        <v>851.99</v>
      </c>
    </row>
    <row r="2266" spans="1:14" x14ac:dyDescent="0.25">
      <c r="A2266" s="1">
        <v>46091</v>
      </c>
      <c r="B2266">
        <v>2</v>
      </c>
      <c r="C2266" t="s">
        <v>541</v>
      </c>
      <c r="D2266" t="s">
        <v>10</v>
      </c>
      <c r="E2266" t="s">
        <v>448</v>
      </c>
      <c r="F2266" t="s">
        <v>255</v>
      </c>
      <c r="G2266" t="s">
        <v>409</v>
      </c>
      <c r="I2266" s="42">
        <v>801.99</v>
      </c>
      <c r="J2266" s="42"/>
      <c r="K2266" s="42">
        <v>1.99</v>
      </c>
      <c r="L2266" s="42">
        <v>800</v>
      </c>
      <c r="N2266" s="42">
        <v>800</v>
      </c>
    </row>
    <row r="2267" spans="1:14" x14ac:dyDescent="0.25">
      <c r="A2267" s="1">
        <v>46091</v>
      </c>
      <c r="B2267">
        <v>2</v>
      </c>
      <c r="C2267" t="s">
        <v>542</v>
      </c>
      <c r="D2267" t="s">
        <v>99</v>
      </c>
      <c r="E2267" t="s">
        <v>506</v>
      </c>
      <c r="F2267" t="s">
        <v>158</v>
      </c>
      <c r="G2267" t="s">
        <v>346</v>
      </c>
      <c r="I2267" s="42">
        <v>746.99</v>
      </c>
      <c r="J2267" s="42"/>
      <c r="K2267" s="42"/>
      <c r="L2267" s="42">
        <v>746.99</v>
      </c>
      <c r="N2267" s="42"/>
    </row>
    <row r="2268" spans="1:14" x14ac:dyDescent="0.25">
      <c r="A2268" s="1">
        <v>46091</v>
      </c>
      <c r="B2268">
        <v>2</v>
      </c>
      <c r="C2268" t="s">
        <v>541</v>
      </c>
      <c r="D2268" t="s">
        <v>10</v>
      </c>
      <c r="E2268" t="s">
        <v>526</v>
      </c>
      <c r="F2268" t="s">
        <v>158</v>
      </c>
      <c r="G2268" t="s">
        <v>346</v>
      </c>
      <c r="I2268" s="42">
        <v>746.99</v>
      </c>
      <c r="J2268" s="42"/>
      <c r="K2268" s="42"/>
      <c r="L2268" s="42">
        <v>1241.99</v>
      </c>
      <c r="N2268" s="42">
        <v>746.99</v>
      </c>
    </row>
    <row r="2269" spans="1:14" x14ac:dyDescent="0.25">
      <c r="A2269" s="1">
        <v>46091</v>
      </c>
      <c r="B2269">
        <v>2</v>
      </c>
      <c r="C2269" t="s">
        <v>541</v>
      </c>
      <c r="D2269" t="s">
        <v>10</v>
      </c>
      <c r="E2269" t="s">
        <v>509</v>
      </c>
      <c r="F2269" t="s">
        <v>12</v>
      </c>
      <c r="G2269" t="s">
        <v>346</v>
      </c>
      <c r="I2269" s="42">
        <v>746.99</v>
      </c>
      <c r="J2269" s="42"/>
      <c r="K2269" s="42">
        <v>106.43</v>
      </c>
      <c r="L2269" s="42">
        <v>640.55999999999995</v>
      </c>
      <c r="N2269" s="42">
        <v>640.55999999999995</v>
      </c>
    </row>
    <row r="2270" spans="1:14" x14ac:dyDescent="0.25">
      <c r="A2270" s="1">
        <v>46091</v>
      </c>
      <c r="B2270">
        <v>2</v>
      </c>
      <c r="C2270" t="s">
        <v>541</v>
      </c>
      <c r="D2270" t="s">
        <v>10</v>
      </c>
      <c r="E2270" t="s">
        <v>491</v>
      </c>
      <c r="F2270" t="s">
        <v>403</v>
      </c>
      <c r="G2270" t="s">
        <v>346</v>
      </c>
      <c r="I2270" s="42">
        <v>1001.99</v>
      </c>
      <c r="J2270" s="42">
        <v>30</v>
      </c>
      <c r="K2270" s="42"/>
      <c r="L2270" s="42">
        <v>1031.99</v>
      </c>
      <c r="N2270" s="42">
        <v>1031.99</v>
      </c>
    </row>
    <row r="2271" spans="1:14" x14ac:dyDescent="0.25">
      <c r="A2271" s="1">
        <v>46091</v>
      </c>
      <c r="B2271">
        <v>2</v>
      </c>
      <c r="C2271" t="s">
        <v>541</v>
      </c>
      <c r="D2271" t="s">
        <v>10</v>
      </c>
      <c r="E2271" t="s">
        <v>521</v>
      </c>
      <c r="F2271" t="s">
        <v>522</v>
      </c>
      <c r="G2271" t="s">
        <v>523</v>
      </c>
      <c r="I2271" s="42">
        <v>851.99</v>
      </c>
      <c r="J2271" s="42"/>
      <c r="K2271" s="42">
        <v>243.42</v>
      </c>
      <c r="L2271" s="42">
        <v>608.57000000000005</v>
      </c>
      <c r="N2271" s="42">
        <v>608.57000000000005</v>
      </c>
    </row>
    <row r="2272" spans="1:14" x14ac:dyDescent="0.25">
      <c r="A2272" s="1">
        <v>46091</v>
      </c>
      <c r="B2272">
        <v>2</v>
      </c>
      <c r="C2272" t="s">
        <v>541</v>
      </c>
      <c r="D2272" t="s">
        <v>10</v>
      </c>
      <c r="E2272" t="s">
        <v>533</v>
      </c>
      <c r="F2272" t="s">
        <v>211</v>
      </c>
      <c r="G2272" t="s">
        <v>346</v>
      </c>
      <c r="I2272" s="42">
        <v>746.99</v>
      </c>
      <c r="J2272" s="42"/>
      <c r="K2272" s="42"/>
      <c r="L2272" s="42">
        <v>746.99</v>
      </c>
      <c r="N2272" s="42">
        <v>746.99</v>
      </c>
    </row>
    <row r="2273" spans="1:14" x14ac:dyDescent="0.25">
      <c r="A2273" s="1">
        <v>46091</v>
      </c>
      <c r="B2273">
        <v>2</v>
      </c>
      <c r="C2273" t="s">
        <v>542</v>
      </c>
      <c r="D2273" t="s">
        <v>99</v>
      </c>
      <c r="E2273" t="s">
        <v>464</v>
      </c>
      <c r="F2273" t="s">
        <v>55</v>
      </c>
      <c r="G2273" t="s">
        <v>346</v>
      </c>
      <c r="I2273" s="42">
        <v>746.99</v>
      </c>
      <c r="J2273" s="42"/>
      <c r="K2273" s="42"/>
      <c r="L2273" s="42">
        <v>746.99</v>
      </c>
      <c r="N2273" s="42"/>
    </row>
    <row r="2274" spans="1:14" x14ac:dyDescent="0.25">
      <c r="A2274" s="1">
        <v>46091</v>
      </c>
      <c r="B2274">
        <v>2</v>
      </c>
      <c r="C2274" t="s">
        <v>541</v>
      </c>
      <c r="D2274" t="s">
        <v>10</v>
      </c>
      <c r="E2274" t="s">
        <v>368</v>
      </c>
      <c r="F2274" t="s">
        <v>369</v>
      </c>
      <c r="G2274" t="s">
        <v>370</v>
      </c>
      <c r="I2274" s="42">
        <v>981.99</v>
      </c>
      <c r="J2274" s="42"/>
      <c r="K2274" s="42"/>
      <c r="L2274" s="42">
        <v>1576.99</v>
      </c>
      <c r="N2274" s="42">
        <v>981.99</v>
      </c>
    </row>
    <row r="2275" spans="1:14" x14ac:dyDescent="0.25">
      <c r="A2275" s="1">
        <v>46091</v>
      </c>
      <c r="B2275">
        <v>2</v>
      </c>
      <c r="C2275" t="s">
        <v>541</v>
      </c>
      <c r="D2275" t="s">
        <v>10</v>
      </c>
      <c r="E2275" t="s">
        <v>719</v>
      </c>
      <c r="F2275" t="s">
        <v>369</v>
      </c>
      <c r="G2275" t="s">
        <v>370</v>
      </c>
      <c r="I2275" s="42">
        <v>981.99</v>
      </c>
      <c r="J2275" s="42">
        <v>60</v>
      </c>
      <c r="K2275" s="42"/>
      <c r="L2275" s="42">
        <v>1041.99</v>
      </c>
      <c r="N2275" s="42">
        <v>1041.99</v>
      </c>
    </row>
    <row r="2276" spans="1:14" x14ac:dyDescent="0.25">
      <c r="A2276" s="1">
        <v>46091</v>
      </c>
      <c r="B2276">
        <v>2</v>
      </c>
      <c r="C2276" t="s">
        <v>541</v>
      </c>
      <c r="D2276" t="s">
        <v>10</v>
      </c>
      <c r="E2276" t="s">
        <v>508</v>
      </c>
      <c r="F2276" t="s">
        <v>158</v>
      </c>
      <c r="G2276" t="s">
        <v>346</v>
      </c>
      <c r="I2276" s="42">
        <v>746.99</v>
      </c>
      <c r="J2276" s="42"/>
      <c r="K2276" s="42"/>
      <c r="L2276" s="42">
        <v>746.99</v>
      </c>
      <c r="N2276" s="42">
        <v>746.99</v>
      </c>
    </row>
    <row r="2277" spans="1:14" x14ac:dyDescent="0.25">
      <c r="A2277" s="1">
        <v>46091</v>
      </c>
      <c r="B2277">
        <v>2</v>
      </c>
      <c r="C2277" t="s">
        <v>541</v>
      </c>
      <c r="D2277" t="s">
        <v>10</v>
      </c>
      <c r="E2277" t="s">
        <v>357</v>
      </c>
      <c r="F2277" t="s">
        <v>55</v>
      </c>
      <c r="G2277" t="s">
        <v>346</v>
      </c>
      <c r="I2277" s="42">
        <v>746.99</v>
      </c>
      <c r="J2277" s="42"/>
      <c r="K2277" s="42">
        <v>381.99</v>
      </c>
      <c r="L2277" s="42">
        <v>365</v>
      </c>
      <c r="N2277" s="42">
        <v>365</v>
      </c>
    </row>
    <row r="2278" spans="1:14" x14ac:dyDescent="0.25">
      <c r="A2278" s="1">
        <v>46091</v>
      </c>
      <c r="B2278">
        <v>2</v>
      </c>
      <c r="C2278" t="s">
        <v>542</v>
      </c>
      <c r="D2278" t="s">
        <v>99</v>
      </c>
      <c r="E2278" t="s">
        <v>362</v>
      </c>
      <c r="F2278" t="s">
        <v>52</v>
      </c>
      <c r="G2278" t="s">
        <v>363</v>
      </c>
      <c r="I2278" s="42">
        <v>1251.99</v>
      </c>
      <c r="J2278" s="42"/>
      <c r="K2278" s="42"/>
      <c r="L2278" s="42">
        <v>1251.99</v>
      </c>
      <c r="N2278" s="42"/>
    </row>
    <row r="2279" spans="1:14" x14ac:dyDescent="0.25">
      <c r="A2279" s="1">
        <v>46091</v>
      </c>
      <c r="B2279">
        <v>2</v>
      </c>
      <c r="C2279" t="s">
        <v>541</v>
      </c>
      <c r="D2279" t="s">
        <v>10</v>
      </c>
      <c r="E2279" t="s">
        <v>399</v>
      </c>
      <c r="F2279" t="s">
        <v>12</v>
      </c>
      <c r="G2279" t="s">
        <v>346</v>
      </c>
      <c r="I2279" s="42">
        <v>746.99</v>
      </c>
      <c r="J2279" s="42"/>
      <c r="K2279" s="42"/>
      <c r="L2279" s="42">
        <v>746.99</v>
      </c>
      <c r="N2279" s="42">
        <v>746.99</v>
      </c>
    </row>
    <row r="2280" spans="1:14" x14ac:dyDescent="0.25">
      <c r="A2280" s="1">
        <v>46091</v>
      </c>
      <c r="B2280">
        <v>2</v>
      </c>
      <c r="C2280" t="s">
        <v>541</v>
      </c>
      <c r="D2280" t="s">
        <v>10</v>
      </c>
      <c r="E2280" t="s">
        <v>423</v>
      </c>
      <c r="F2280" t="s">
        <v>12</v>
      </c>
      <c r="G2280" t="s">
        <v>346</v>
      </c>
      <c r="I2280" s="42">
        <v>746.99</v>
      </c>
      <c r="J2280" s="42"/>
      <c r="K2280" s="42"/>
      <c r="L2280" s="42">
        <v>746.99</v>
      </c>
      <c r="N2280" s="42">
        <v>746.99</v>
      </c>
    </row>
    <row r="2281" spans="1:14" x14ac:dyDescent="0.25">
      <c r="A2281" s="1">
        <v>46091</v>
      </c>
      <c r="B2281">
        <v>2</v>
      </c>
      <c r="C2281" t="s">
        <v>541</v>
      </c>
      <c r="D2281" t="s">
        <v>10</v>
      </c>
      <c r="E2281" t="s">
        <v>439</v>
      </c>
      <c r="F2281" t="s">
        <v>52</v>
      </c>
      <c r="G2281" t="s">
        <v>346</v>
      </c>
      <c r="I2281" s="42">
        <v>1251.99</v>
      </c>
      <c r="J2281" s="42">
        <v>30</v>
      </c>
      <c r="K2281" s="42"/>
      <c r="L2281" s="42">
        <v>1281.99</v>
      </c>
      <c r="N2281" s="42">
        <v>1281.99</v>
      </c>
    </row>
    <row r="2282" spans="1:14" x14ac:dyDescent="0.25">
      <c r="A2282" s="1">
        <v>46091</v>
      </c>
      <c r="B2282">
        <v>2</v>
      </c>
      <c r="C2282" t="s">
        <v>541</v>
      </c>
      <c r="D2282" t="s">
        <v>10</v>
      </c>
      <c r="E2282" t="s">
        <v>450</v>
      </c>
      <c r="F2282" t="s">
        <v>451</v>
      </c>
      <c r="G2282" t="s">
        <v>346</v>
      </c>
      <c r="I2282" s="42">
        <v>1351.99</v>
      </c>
      <c r="J2282" s="42"/>
      <c r="K2282" s="42">
        <v>50</v>
      </c>
      <c r="L2282" s="42">
        <v>1301.99</v>
      </c>
      <c r="N2282" s="42">
        <v>1301.99</v>
      </c>
    </row>
    <row r="2283" spans="1:14" x14ac:dyDescent="0.25">
      <c r="A2283" s="1">
        <v>46091</v>
      </c>
      <c r="B2283">
        <v>2</v>
      </c>
      <c r="C2283" t="s">
        <v>542</v>
      </c>
      <c r="D2283" t="s">
        <v>136</v>
      </c>
      <c r="E2283" t="s">
        <v>452</v>
      </c>
      <c r="F2283" t="s">
        <v>12</v>
      </c>
      <c r="G2283" t="s">
        <v>346</v>
      </c>
      <c r="I2283" s="42">
        <v>746.99</v>
      </c>
      <c r="J2283" s="42"/>
      <c r="K2283" s="42"/>
      <c r="L2283" s="42">
        <v>746.99</v>
      </c>
      <c r="N2283" s="42"/>
    </row>
    <row r="2284" spans="1:14" x14ac:dyDescent="0.25">
      <c r="A2284" s="1">
        <v>46091</v>
      </c>
      <c r="B2284">
        <v>2</v>
      </c>
      <c r="C2284" t="s">
        <v>541</v>
      </c>
      <c r="D2284" t="s">
        <v>10</v>
      </c>
      <c r="E2284" t="s">
        <v>499</v>
      </c>
      <c r="F2284" t="s">
        <v>500</v>
      </c>
      <c r="G2284" t="s">
        <v>363</v>
      </c>
      <c r="I2284" s="42">
        <v>1101.99</v>
      </c>
      <c r="J2284" s="42"/>
      <c r="K2284" s="42"/>
      <c r="L2284" s="42">
        <v>1101.99</v>
      </c>
      <c r="N2284" s="42">
        <v>1101.99</v>
      </c>
    </row>
    <row r="2285" spans="1:14" x14ac:dyDescent="0.25">
      <c r="A2285" s="1">
        <v>46091</v>
      </c>
      <c r="B2285">
        <v>2</v>
      </c>
      <c r="C2285" t="s">
        <v>542</v>
      </c>
      <c r="D2285" t="s">
        <v>99</v>
      </c>
      <c r="E2285" t="s">
        <v>453</v>
      </c>
      <c r="F2285" t="s">
        <v>387</v>
      </c>
      <c r="G2285" t="s">
        <v>349</v>
      </c>
      <c r="I2285" s="42">
        <v>801.99</v>
      </c>
      <c r="J2285" s="42"/>
      <c r="K2285" s="42"/>
      <c r="L2285" s="42">
        <v>801.99</v>
      </c>
      <c r="N2285" s="42"/>
    </row>
    <row r="2286" spans="1:14" x14ac:dyDescent="0.25">
      <c r="A2286" s="1">
        <v>46091</v>
      </c>
      <c r="B2286">
        <v>2</v>
      </c>
      <c r="C2286" t="s">
        <v>541</v>
      </c>
      <c r="D2286" t="s">
        <v>10</v>
      </c>
      <c r="E2286" t="s">
        <v>456</v>
      </c>
      <c r="F2286" t="s">
        <v>41</v>
      </c>
      <c r="G2286" t="s">
        <v>457</v>
      </c>
      <c r="I2286" s="42">
        <v>746.99</v>
      </c>
      <c r="J2286" s="42"/>
      <c r="K2286" s="42">
        <v>1.99</v>
      </c>
      <c r="L2286" s="42">
        <v>745</v>
      </c>
      <c r="N2286" s="42">
        <v>745</v>
      </c>
    </row>
    <row r="2287" spans="1:14" x14ac:dyDescent="0.25">
      <c r="A2287" s="1">
        <v>46091</v>
      </c>
      <c r="B2287">
        <v>2</v>
      </c>
      <c r="C2287" t="s">
        <v>541</v>
      </c>
      <c r="D2287" t="s">
        <v>10</v>
      </c>
      <c r="E2287" t="s">
        <v>458</v>
      </c>
      <c r="F2287" t="s">
        <v>41</v>
      </c>
      <c r="G2287" t="s">
        <v>380</v>
      </c>
      <c r="I2287" s="42">
        <v>746.99</v>
      </c>
      <c r="J2287" s="42"/>
      <c r="K2287" s="42">
        <v>1.99</v>
      </c>
      <c r="L2287" s="42">
        <v>745</v>
      </c>
      <c r="N2287" s="42">
        <v>745</v>
      </c>
    </row>
    <row r="2288" spans="1:14" x14ac:dyDescent="0.25">
      <c r="A2288" s="1">
        <v>46091</v>
      </c>
      <c r="B2288">
        <v>2</v>
      </c>
      <c r="C2288" t="s">
        <v>541</v>
      </c>
      <c r="D2288" t="s">
        <v>10</v>
      </c>
      <c r="E2288" t="s">
        <v>460</v>
      </c>
      <c r="F2288" t="s">
        <v>41</v>
      </c>
      <c r="G2288" t="s">
        <v>346</v>
      </c>
      <c r="I2288" s="42">
        <v>746.99</v>
      </c>
      <c r="J2288" s="42"/>
      <c r="K2288" s="42">
        <v>0.99</v>
      </c>
      <c r="L2288" s="42">
        <v>746</v>
      </c>
      <c r="N2288" s="42">
        <v>746</v>
      </c>
    </row>
    <row r="2289" spans="1:14" x14ac:dyDescent="0.25">
      <c r="A2289" s="1">
        <v>46091</v>
      </c>
      <c r="B2289">
        <v>2</v>
      </c>
      <c r="C2289" t="s">
        <v>542</v>
      </c>
      <c r="D2289" t="s">
        <v>336</v>
      </c>
      <c r="E2289" t="s">
        <v>461</v>
      </c>
      <c r="F2289" t="s">
        <v>41</v>
      </c>
      <c r="G2289" t="s">
        <v>462</v>
      </c>
      <c r="I2289" s="42">
        <v>746.99</v>
      </c>
      <c r="J2289" s="42"/>
      <c r="K2289" s="42"/>
      <c r="L2289" s="42">
        <v>746.99</v>
      </c>
      <c r="N2289" s="42">
        <v>746.99</v>
      </c>
    </row>
    <row r="2290" spans="1:14" x14ac:dyDescent="0.25">
      <c r="A2290" s="1">
        <v>46091</v>
      </c>
      <c r="B2290">
        <v>2</v>
      </c>
      <c r="C2290" t="s">
        <v>541</v>
      </c>
      <c r="D2290" t="s">
        <v>10</v>
      </c>
      <c r="E2290" t="s">
        <v>463</v>
      </c>
      <c r="F2290" t="s">
        <v>158</v>
      </c>
      <c r="G2290" t="s">
        <v>346</v>
      </c>
      <c r="I2290" s="42">
        <v>746.99</v>
      </c>
      <c r="J2290" s="42"/>
      <c r="K2290" s="42">
        <v>106.43</v>
      </c>
      <c r="L2290" s="42">
        <v>640.55999999999995</v>
      </c>
      <c r="N2290" s="42">
        <v>640.55999999999995</v>
      </c>
    </row>
    <row r="2291" spans="1:14" x14ac:dyDescent="0.25">
      <c r="A2291" s="1">
        <v>46091</v>
      </c>
      <c r="B2291">
        <v>2</v>
      </c>
      <c r="C2291" t="s">
        <v>541</v>
      </c>
      <c r="D2291" t="s">
        <v>10</v>
      </c>
      <c r="E2291" t="s">
        <v>465</v>
      </c>
      <c r="F2291" t="s">
        <v>41</v>
      </c>
      <c r="G2291" t="s">
        <v>346</v>
      </c>
      <c r="I2291" s="42">
        <v>746.99</v>
      </c>
      <c r="J2291" s="42"/>
      <c r="K2291" s="42">
        <v>106.43</v>
      </c>
      <c r="L2291" s="42">
        <v>640.55999999999995</v>
      </c>
      <c r="N2291" s="42">
        <v>640.55999999999995</v>
      </c>
    </row>
    <row r="2292" spans="1:14" x14ac:dyDescent="0.25">
      <c r="A2292" s="1">
        <v>46091</v>
      </c>
      <c r="B2292">
        <v>2</v>
      </c>
      <c r="C2292" t="s">
        <v>541</v>
      </c>
      <c r="D2292" t="s">
        <v>10</v>
      </c>
      <c r="E2292" t="s">
        <v>470</v>
      </c>
      <c r="F2292" t="s">
        <v>55</v>
      </c>
      <c r="G2292" t="s">
        <v>346</v>
      </c>
      <c r="I2292" s="42">
        <v>746.99</v>
      </c>
      <c r="J2292" s="42"/>
      <c r="K2292" s="42">
        <v>1.99</v>
      </c>
      <c r="L2292" s="42">
        <v>745</v>
      </c>
      <c r="N2292" s="42">
        <v>745</v>
      </c>
    </row>
    <row r="2293" spans="1:14" x14ac:dyDescent="0.25">
      <c r="A2293" s="1">
        <v>46091</v>
      </c>
      <c r="B2293">
        <v>2</v>
      </c>
      <c r="C2293" t="s">
        <v>541</v>
      </c>
      <c r="D2293" t="s">
        <v>10</v>
      </c>
      <c r="E2293" t="s">
        <v>471</v>
      </c>
      <c r="F2293" t="s">
        <v>472</v>
      </c>
      <c r="G2293" t="s">
        <v>346</v>
      </c>
      <c r="I2293" s="42">
        <v>746.99</v>
      </c>
      <c r="J2293" s="42">
        <v>30.01</v>
      </c>
      <c r="K2293" s="42"/>
      <c r="L2293" s="42">
        <v>777</v>
      </c>
      <c r="N2293" s="42">
        <v>777</v>
      </c>
    </row>
    <row r="2294" spans="1:14" x14ac:dyDescent="0.25">
      <c r="A2294" s="1">
        <v>46091</v>
      </c>
      <c r="B2294">
        <v>2</v>
      </c>
      <c r="C2294" t="s">
        <v>541</v>
      </c>
      <c r="D2294" t="s">
        <v>10</v>
      </c>
      <c r="E2294" t="s">
        <v>474</v>
      </c>
      <c r="F2294" t="s">
        <v>230</v>
      </c>
      <c r="G2294" t="s">
        <v>467</v>
      </c>
      <c r="I2294" s="42">
        <v>746.99</v>
      </c>
      <c r="J2294" s="42">
        <v>30</v>
      </c>
      <c r="K2294" s="42"/>
      <c r="L2294" s="42">
        <v>776.99</v>
      </c>
      <c r="N2294" s="42">
        <v>776.99</v>
      </c>
    </row>
    <row r="2295" spans="1:14" x14ac:dyDescent="0.25">
      <c r="A2295" s="1">
        <v>46091</v>
      </c>
      <c r="B2295">
        <v>2</v>
      </c>
      <c r="C2295" t="s">
        <v>541</v>
      </c>
      <c r="D2295" t="s">
        <v>10</v>
      </c>
      <c r="E2295" t="s">
        <v>478</v>
      </c>
      <c r="F2295" t="s">
        <v>158</v>
      </c>
      <c r="G2295" t="s">
        <v>346</v>
      </c>
      <c r="I2295" s="42">
        <v>746.99</v>
      </c>
      <c r="J2295" s="42"/>
      <c r="K2295" s="42"/>
      <c r="L2295" s="42">
        <v>746.99</v>
      </c>
      <c r="N2295" s="42">
        <v>746.99</v>
      </c>
    </row>
    <row r="2296" spans="1:14" x14ac:dyDescent="0.25">
      <c r="A2296" s="1">
        <v>46091</v>
      </c>
      <c r="B2296">
        <v>2</v>
      </c>
      <c r="C2296" t="s">
        <v>542</v>
      </c>
      <c r="D2296" t="s">
        <v>336</v>
      </c>
      <c r="E2296" t="s">
        <v>480</v>
      </c>
      <c r="F2296" t="s">
        <v>158</v>
      </c>
      <c r="G2296" t="s">
        <v>346</v>
      </c>
      <c r="I2296" s="42">
        <v>746.99</v>
      </c>
      <c r="J2296" s="42"/>
      <c r="K2296" s="42"/>
      <c r="L2296" s="42">
        <v>746.99</v>
      </c>
      <c r="N2296" s="42"/>
    </row>
    <row r="2297" spans="1:14" x14ac:dyDescent="0.25">
      <c r="A2297" s="1">
        <v>46091</v>
      </c>
      <c r="B2297">
        <v>2</v>
      </c>
      <c r="C2297" t="s">
        <v>541</v>
      </c>
      <c r="D2297" t="s">
        <v>10</v>
      </c>
      <c r="E2297" t="s">
        <v>481</v>
      </c>
      <c r="F2297" t="s">
        <v>41</v>
      </c>
      <c r="G2297" t="s">
        <v>398</v>
      </c>
      <c r="I2297" s="42">
        <v>746.99</v>
      </c>
      <c r="J2297" s="42"/>
      <c r="K2297" s="42"/>
      <c r="L2297" s="42">
        <v>1341.99</v>
      </c>
      <c r="N2297" s="42">
        <v>746.99</v>
      </c>
    </row>
    <row r="2298" spans="1:14" x14ac:dyDescent="0.25">
      <c r="A2298" s="1">
        <v>46091</v>
      </c>
      <c r="B2298">
        <v>2</v>
      </c>
      <c r="C2298" t="s">
        <v>541</v>
      </c>
      <c r="D2298" t="s">
        <v>10</v>
      </c>
      <c r="E2298" t="s">
        <v>483</v>
      </c>
      <c r="F2298" t="s">
        <v>158</v>
      </c>
      <c r="G2298" t="s">
        <v>346</v>
      </c>
      <c r="I2298" s="42">
        <v>746.99</v>
      </c>
      <c r="J2298" s="42">
        <v>47.01</v>
      </c>
      <c r="K2298" s="42"/>
      <c r="L2298" s="42">
        <v>794</v>
      </c>
      <c r="N2298" s="42">
        <v>794</v>
      </c>
    </row>
    <row r="2299" spans="1:14" x14ac:dyDescent="0.25">
      <c r="A2299" s="1">
        <v>46091</v>
      </c>
      <c r="B2299">
        <v>2</v>
      </c>
      <c r="C2299" t="s">
        <v>541</v>
      </c>
      <c r="D2299" t="s">
        <v>10</v>
      </c>
      <c r="E2299" t="s">
        <v>484</v>
      </c>
      <c r="F2299" t="s">
        <v>158</v>
      </c>
      <c r="G2299" t="s">
        <v>346</v>
      </c>
      <c r="I2299" s="42">
        <v>746.99</v>
      </c>
      <c r="J2299" s="42">
        <v>33.01</v>
      </c>
      <c r="K2299" s="42"/>
      <c r="L2299" s="42">
        <v>780</v>
      </c>
      <c r="N2299" s="42">
        <v>780</v>
      </c>
    </row>
    <row r="2300" spans="1:14" x14ac:dyDescent="0.25">
      <c r="A2300" s="1">
        <v>46091</v>
      </c>
      <c r="B2300">
        <v>2</v>
      </c>
      <c r="C2300" t="s">
        <v>541</v>
      </c>
      <c r="D2300" t="s">
        <v>10</v>
      </c>
      <c r="E2300" t="s">
        <v>485</v>
      </c>
      <c r="F2300" t="s">
        <v>37</v>
      </c>
      <c r="G2300" t="s">
        <v>346</v>
      </c>
      <c r="I2300" s="42">
        <v>746.99</v>
      </c>
      <c r="J2300" s="42"/>
      <c r="K2300" s="42"/>
      <c r="L2300" s="42">
        <v>746.99</v>
      </c>
      <c r="N2300" s="42">
        <v>746.99</v>
      </c>
    </row>
    <row r="2301" spans="1:14" x14ac:dyDescent="0.25">
      <c r="A2301" s="1">
        <v>46091</v>
      </c>
      <c r="B2301">
        <v>2</v>
      </c>
      <c r="C2301" t="s">
        <v>542</v>
      </c>
      <c r="D2301" t="s">
        <v>99</v>
      </c>
      <c r="E2301" t="s">
        <v>487</v>
      </c>
      <c r="F2301" t="s">
        <v>52</v>
      </c>
      <c r="G2301" t="s">
        <v>359</v>
      </c>
      <c r="I2301" s="42">
        <v>1251.99</v>
      </c>
      <c r="J2301" s="42"/>
      <c r="K2301" s="42"/>
      <c r="L2301" s="42">
        <v>1251.99</v>
      </c>
      <c r="N2301" s="42"/>
    </row>
    <row r="2302" spans="1:14" x14ac:dyDescent="0.25">
      <c r="A2302" s="1">
        <v>46091</v>
      </c>
      <c r="B2302">
        <v>2</v>
      </c>
      <c r="C2302" t="s">
        <v>541</v>
      </c>
      <c r="D2302" t="s">
        <v>10</v>
      </c>
      <c r="E2302" t="s">
        <v>488</v>
      </c>
      <c r="F2302" t="s">
        <v>407</v>
      </c>
      <c r="G2302" t="s">
        <v>346</v>
      </c>
      <c r="I2302" s="42">
        <v>801.99</v>
      </c>
      <c r="J2302" s="42"/>
      <c r="K2302" s="42"/>
      <c r="L2302" s="42">
        <v>801.99</v>
      </c>
      <c r="N2302" s="42"/>
    </row>
    <row r="2303" spans="1:14" x14ac:dyDescent="0.25">
      <c r="A2303" s="1">
        <v>46091</v>
      </c>
      <c r="B2303">
        <v>2</v>
      </c>
      <c r="C2303" t="s">
        <v>541</v>
      </c>
      <c r="D2303" t="s">
        <v>10</v>
      </c>
      <c r="E2303" t="s">
        <v>490</v>
      </c>
      <c r="F2303" t="s">
        <v>403</v>
      </c>
      <c r="G2303" t="s">
        <v>346</v>
      </c>
      <c r="I2303" s="42">
        <v>931.99</v>
      </c>
      <c r="J2303" s="42"/>
      <c r="K2303" s="42"/>
      <c r="L2303" s="42">
        <v>931.99</v>
      </c>
      <c r="N2303" s="42"/>
    </row>
    <row r="2304" spans="1:14" x14ac:dyDescent="0.25">
      <c r="A2304" s="1">
        <v>46091</v>
      </c>
      <c r="B2304">
        <v>2</v>
      </c>
      <c r="C2304" t="s">
        <v>541</v>
      </c>
      <c r="D2304" t="s">
        <v>10</v>
      </c>
      <c r="E2304" t="s">
        <v>496</v>
      </c>
      <c r="F2304" t="s">
        <v>403</v>
      </c>
      <c r="G2304" t="s">
        <v>346</v>
      </c>
      <c r="I2304" s="42">
        <v>1000</v>
      </c>
      <c r="J2304" s="42"/>
      <c r="K2304" s="42"/>
      <c r="L2304" s="42">
        <v>1000</v>
      </c>
      <c r="N2304" s="42">
        <v>1000</v>
      </c>
    </row>
    <row r="2305" spans="1:14" x14ac:dyDescent="0.25">
      <c r="A2305" s="1">
        <v>46091</v>
      </c>
      <c r="B2305">
        <v>2</v>
      </c>
      <c r="C2305" t="s">
        <v>541</v>
      </c>
      <c r="D2305" t="s">
        <v>10</v>
      </c>
      <c r="E2305" t="s">
        <v>702</v>
      </c>
      <c r="F2305" t="s">
        <v>55</v>
      </c>
      <c r="G2305" t="s">
        <v>703</v>
      </c>
      <c r="I2305" s="42">
        <v>746.99</v>
      </c>
      <c r="J2305" s="42">
        <v>30</v>
      </c>
      <c r="K2305" s="42"/>
      <c r="L2305" s="42">
        <v>776.99</v>
      </c>
      <c r="N2305" s="42">
        <v>776.99</v>
      </c>
    </row>
    <row r="2306" spans="1:14" x14ac:dyDescent="0.25">
      <c r="A2306" s="1">
        <v>46091</v>
      </c>
      <c r="B2306">
        <v>2</v>
      </c>
      <c r="C2306" t="s">
        <v>541</v>
      </c>
      <c r="D2306" t="s">
        <v>10</v>
      </c>
      <c r="E2306" t="s">
        <v>492</v>
      </c>
      <c r="F2306" t="s">
        <v>28</v>
      </c>
      <c r="G2306" t="s">
        <v>493</v>
      </c>
      <c r="I2306" s="42">
        <v>931.99</v>
      </c>
      <c r="J2306" s="42">
        <v>30</v>
      </c>
      <c r="K2306" s="42"/>
      <c r="L2306" s="42">
        <v>961.99</v>
      </c>
      <c r="N2306" s="42">
        <v>961.99</v>
      </c>
    </row>
    <row r="2307" spans="1:14" x14ac:dyDescent="0.25">
      <c r="A2307" s="1">
        <v>46091</v>
      </c>
      <c r="B2307">
        <v>2</v>
      </c>
      <c r="C2307" t="s">
        <v>541</v>
      </c>
      <c r="D2307" t="s">
        <v>10</v>
      </c>
      <c r="E2307" t="s">
        <v>502</v>
      </c>
      <c r="F2307" t="s">
        <v>55</v>
      </c>
      <c r="G2307" t="s">
        <v>346</v>
      </c>
      <c r="I2307" s="42">
        <v>746.99</v>
      </c>
      <c r="J2307" s="42"/>
      <c r="K2307" s="42"/>
      <c r="L2307" s="42">
        <v>746.99</v>
      </c>
      <c r="N2307" s="42">
        <v>500</v>
      </c>
    </row>
    <row r="2308" spans="1:14" x14ac:dyDescent="0.25">
      <c r="A2308" s="1">
        <v>46091</v>
      </c>
      <c r="B2308">
        <v>2</v>
      </c>
      <c r="C2308" t="s">
        <v>541</v>
      </c>
      <c r="D2308" t="s">
        <v>10</v>
      </c>
      <c r="E2308" t="s">
        <v>417</v>
      </c>
      <c r="F2308" t="s">
        <v>52</v>
      </c>
      <c r="G2308" t="s">
        <v>359</v>
      </c>
      <c r="I2308" s="42">
        <v>1251.99</v>
      </c>
      <c r="J2308" s="42">
        <v>30</v>
      </c>
      <c r="K2308" s="42"/>
      <c r="L2308" s="42">
        <v>1281.99</v>
      </c>
      <c r="N2308" s="42">
        <v>1281.99</v>
      </c>
    </row>
    <row r="2309" spans="1:14" x14ac:dyDescent="0.25">
      <c r="A2309" s="1">
        <v>46091</v>
      </c>
      <c r="B2309">
        <v>2</v>
      </c>
      <c r="C2309" t="s">
        <v>541</v>
      </c>
      <c r="D2309" t="s">
        <v>10</v>
      </c>
      <c r="E2309" t="s">
        <v>497</v>
      </c>
      <c r="F2309" t="s">
        <v>498</v>
      </c>
      <c r="G2309" t="s">
        <v>349</v>
      </c>
      <c r="I2309" s="42">
        <v>901.99</v>
      </c>
      <c r="J2309" s="42"/>
      <c r="K2309" s="42"/>
      <c r="L2309" s="42">
        <v>901.99</v>
      </c>
      <c r="N2309" s="42">
        <v>901.99</v>
      </c>
    </row>
    <row r="2310" spans="1:14" x14ac:dyDescent="0.25">
      <c r="A2310" s="1">
        <v>46091</v>
      </c>
      <c r="B2310">
        <v>2</v>
      </c>
      <c r="C2310" t="s">
        <v>541</v>
      </c>
      <c r="D2310" t="s">
        <v>10</v>
      </c>
      <c r="E2310" t="s">
        <v>475</v>
      </c>
      <c r="F2310" t="s">
        <v>37</v>
      </c>
      <c r="G2310" t="s">
        <v>467</v>
      </c>
      <c r="I2310" s="42">
        <v>746.99</v>
      </c>
      <c r="J2310" s="42"/>
      <c r="K2310" s="42"/>
      <c r="L2310" s="42">
        <v>746.99</v>
      </c>
      <c r="N2310" s="42">
        <v>746.99</v>
      </c>
    </row>
    <row r="2311" spans="1:14" x14ac:dyDescent="0.25">
      <c r="A2311" s="1">
        <v>46091</v>
      </c>
      <c r="B2311">
        <v>2</v>
      </c>
      <c r="C2311" t="s">
        <v>541</v>
      </c>
      <c r="D2311" t="s">
        <v>336</v>
      </c>
      <c r="E2311" t="s">
        <v>476</v>
      </c>
      <c r="F2311" t="s">
        <v>158</v>
      </c>
      <c r="G2311" t="s">
        <v>346</v>
      </c>
      <c r="I2311" s="42">
        <v>746.99</v>
      </c>
      <c r="J2311" s="42"/>
      <c r="K2311" s="42"/>
      <c r="L2311" s="42">
        <v>746.99</v>
      </c>
      <c r="N2311" s="42"/>
    </row>
    <row r="2312" spans="1:14" x14ac:dyDescent="0.25">
      <c r="A2312" s="1">
        <v>46091</v>
      </c>
      <c r="B2312">
        <v>2</v>
      </c>
      <c r="C2312" t="s">
        <v>541</v>
      </c>
      <c r="D2312" t="s">
        <v>10</v>
      </c>
      <c r="E2312" t="s">
        <v>511</v>
      </c>
      <c r="F2312" t="s">
        <v>512</v>
      </c>
      <c r="G2312" t="s">
        <v>346</v>
      </c>
      <c r="I2312" s="42">
        <v>746.99</v>
      </c>
      <c r="J2312" s="42">
        <v>23.01</v>
      </c>
      <c r="K2312" s="42"/>
      <c r="L2312" s="42">
        <v>770</v>
      </c>
      <c r="N2312" s="42">
        <v>770</v>
      </c>
    </row>
    <row r="2313" spans="1:14" x14ac:dyDescent="0.25">
      <c r="A2313" s="1">
        <v>46091</v>
      </c>
      <c r="B2313">
        <v>2</v>
      </c>
      <c r="C2313" t="s">
        <v>541</v>
      </c>
      <c r="D2313" t="s">
        <v>10</v>
      </c>
      <c r="E2313" t="s">
        <v>479</v>
      </c>
      <c r="F2313" t="s">
        <v>41</v>
      </c>
      <c r="G2313" t="s">
        <v>398</v>
      </c>
      <c r="I2313" s="42">
        <v>746.99</v>
      </c>
      <c r="J2313" s="42">
        <v>60</v>
      </c>
      <c r="K2313" s="42"/>
      <c r="L2313" s="42">
        <v>806.99</v>
      </c>
      <c r="N2313" s="42">
        <v>806.99</v>
      </c>
    </row>
    <row r="2314" spans="1:14" x14ac:dyDescent="0.25">
      <c r="A2314" s="1">
        <v>46091</v>
      </c>
      <c r="B2314">
        <v>2</v>
      </c>
      <c r="C2314" t="s">
        <v>542</v>
      </c>
      <c r="D2314" t="s">
        <v>99</v>
      </c>
      <c r="E2314" t="s">
        <v>712</v>
      </c>
      <c r="F2314" t="s">
        <v>383</v>
      </c>
      <c r="G2314" t="s">
        <v>370</v>
      </c>
      <c r="I2314" s="42">
        <v>991.99</v>
      </c>
      <c r="J2314" s="42"/>
      <c r="K2314" s="42"/>
      <c r="L2314" s="42">
        <v>991.99</v>
      </c>
      <c r="N2314" s="42"/>
    </row>
    <row r="2315" spans="1:14" x14ac:dyDescent="0.25">
      <c r="A2315" s="1">
        <v>46091</v>
      </c>
      <c r="B2315">
        <v>2</v>
      </c>
      <c r="C2315" t="s">
        <v>542</v>
      </c>
      <c r="D2315" t="s">
        <v>99</v>
      </c>
      <c r="E2315" t="s">
        <v>421</v>
      </c>
      <c r="F2315" t="s">
        <v>422</v>
      </c>
      <c r="G2315" t="s">
        <v>346</v>
      </c>
      <c r="I2315" s="42">
        <v>1251.99</v>
      </c>
      <c r="J2315" s="42"/>
      <c r="K2315" s="42"/>
      <c r="L2315" s="42">
        <v>1251.99</v>
      </c>
      <c r="N2315" s="42"/>
    </row>
    <row r="2316" spans="1:14" x14ac:dyDescent="0.25">
      <c r="A2316" s="1">
        <v>46091</v>
      </c>
      <c r="B2316">
        <v>2</v>
      </c>
      <c r="C2316" t="s">
        <v>542</v>
      </c>
      <c r="D2316" t="s">
        <v>99</v>
      </c>
      <c r="E2316" t="s">
        <v>536</v>
      </c>
      <c r="F2316" t="s">
        <v>52</v>
      </c>
      <c r="G2316" t="s">
        <v>359</v>
      </c>
      <c r="I2316" s="42"/>
      <c r="J2316" s="42"/>
      <c r="K2316" s="42"/>
      <c r="L2316" s="42">
        <v>0</v>
      </c>
      <c r="M2316" s="37">
        <v>163.44</v>
      </c>
      <c r="N2316" s="42"/>
    </row>
    <row r="2317" spans="1:14" x14ac:dyDescent="0.25">
      <c r="A2317" s="1">
        <v>46091</v>
      </c>
      <c r="B2317">
        <v>2</v>
      </c>
      <c r="C2317" t="s">
        <v>542</v>
      </c>
      <c r="D2317" t="s">
        <v>99</v>
      </c>
      <c r="E2317" t="s">
        <v>516</v>
      </c>
      <c r="F2317" t="s">
        <v>517</v>
      </c>
      <c r="G2317" t="s">
        <v>349</v>
      </c>
      <c r="I2317" s="42">
        <v>801.99</v>
      </c>
      <c r="J2317" s="42"/>
      <c r="K2317" s="42"/>
      <c r="L2317" s="42">
        <v>801.99</v>
      </c>
      <c r="N2317" s="42"/>
    </row>
    <row r="2318" spans="1:14" x14ac:dyDescent="0.25">
      <c r="A2318" s="1">
        <v>46091</v>
      </c>
      <c r="B2318">
        <v>2</v>
      </c>
      <c r="C2318" t="s">
        <v>542</v>
      </c>
      <c r="D2318" t="s">
        <v>336</v>
      </c>
      <c r="E2318" t="s">
        <v>390</v>
      </c>
      <c r="F2318" t="s">
        <v>12</v>
      </c>
      <c r="G2318" t="s">
        <v>346</v>
      </c>
      <c r="I2318" s="42">
        <v>746.99</v>
      </c>
      <c r="J2318" s="42"/>
      <c r="K2318" s="42"/>
      <c r="L2318" s="42">
        <v>746.99</v>
      </c>
      <c r="N2318" s="42"/>
    </row>
    <row r="2319" spans="1:14" x14ac:dyDescent="0.25">
      <c r="A2319" s="1">
        <v>46091</v>
      </c>
      <c r="B2319">
        <v>2</v>
      </c>
      <c r="C2319" t="s">
        <v>541</v>
      </c>
      <c r="D2319" t="s">
        <v>336</v>
      </c>
      <c r="E2319" t="s">
        <v>507</v>
      </c>
      <c r="F2319" t="s">
        <v>403</v>
      </c>
      <c r="G2319" t="s">
        <v>346</v>
      </c>
      <c r="I2319" s="42">
        <v>1001.99</v>
      </c>
      <c r="J2319" s="42">
        <v>30</v>
      </c>
      <c r="K2319" s="42"/>
      <c r="L2319" s="42">
        <v>1031.99</v>
      </c>
      <c r="N2319" s="42"/>
    </row>
    <row r="2320" spans="1:14" x14ac:dyDescent="0.25">
      <c r="A2320" s="1">
        <v>46091</v>
      </c>
      <c r="B2320">
        <v>2</v>
      </c>
      <c r="C2320" t="s">
        <v>541</v>
      </c>
      <c r="D2320" t="s">
        <v>10</v>
      </c>
      <c r="E2320" t="s">
        <v>504</v>
      </c>
      <c r="F2320" t="s">
        <v>37</v>
      </c>
      <c r="G2320" t="s">
        <v>420</v>
      </c>
      <c r="I2320" s="42">
        <v>746.99</v>
      </c>
      <c r="J2320" s="42"/>
      <c r="K2320" s="42"/>
      <c r="L2320" s="42">
        <v>746.99</v>
      </c>
      <c r="N2320" s="42">
        <v>746.99</v>
      </c>
    </row>
    <row r="2321" spans="1:14" x14ac:dyDescent="0.25">
      <c r="A2321" s="1">
        <v>46091</v>
      </c>
      <c r="B2321">
        <v>2</v>
      </c>
      <c r="C2321" t="s">
        <v>541</v>
      </c>
      <c r="D2321" t="s">
        <v>10</v>
      </c>
      <c r="E2321" t="s">
        <v>716</v>
      </c>
      <c r="F2321" t="s">
        <v>94</v>
      </c>
      <c r="G2321" t="s">
        <v>462</v>
      </c>
      <c r="I2321" s="42">
        <v>746.99</v>
      </c>
      <c r="J2321" s="42">
        <v>5.01</v>
      </c>
      <c r="K2321" s="42"/>
      <c r="L2321" s="42">
        <v>752</v>
      </c>
      <c r="N2321" s="42">
        <v>752</v>
      </c>
    </row>
    <row r="2322" spans="1:14" x14ac:dyDescent="0.25">
      <c r="A2322" s="1">
        <v>46091</v>
      </c>
      <c r="B2322">
        <v>2</v>
      </c>
      <c r="C2322" t="s">
        <v>542</v>
      </c>
      <c r="D2322" t="s">
        <v>99</v>
      </c>
      <c r="E2322" t="s">
        <v>518</v>
      </c>
      <c r="F2322" t="s">
        <v>385</v>
      </c>
      <c r="G2322" t="s">
        <v>349</v>
      </c>
      <c r="I2322" s="42">
        <v>801.99</v>
      </c>
      <c r="J2322" s="42"/>
      <c r="K2322" s="42"/>
      <c r="L2322" s="42">
        <v>801.99</v>
      </c>
      <c r="N2322" s="42"/>
    </row>
    <row r="2323" spans="1:14" x14ac:dyDescent="0.25">
      <c r="A2323" s="1">
        <v>46091</v>
      </c>
      <c r="B2323">
        <v>2</v>
      </c>
      <c r="C2323" t="s">
        <v>541</v>
      </c>
      <c r="D2323" t="s">
        <v>10</v>
      </c>
      <c r="E2323" t="s">
        <v>717</v>
      </c>
      <c r="F2323" t="s">
        <v>718</v>
      </c>
      <c r="G2323" t="s">
        <v>462</v>
      </c>
      <c r="I2323" s="42">
        <v>1601.99</v>
      </c>
      <c r="J2323" s="42"/>
      <c r="K2323" s="42">
        <v>1.99</v>
      </c>
      <c r="L2323" s="42">
        <v>1600</v>
      </c>
      <c r="N2323" s="42">
        <v>1600</v>
      </c>
    </row>
    <row r="2324" spans="1:14" x14ac:dyDescent="0.25">
      <c r="A2324" s="1">
        <v>46091</v>
      </c>
      <c r="B2324">
        <v>2</v>
      </c>
      <c r="C2324" t="s">
        <v>541</v>
      </c>
      <c r="D2324" t="s">
        <v>10</v>
      </c>
      <c r="E2324" t="s">
        <v>412</v>
      </c>
      <c r="F2324" t="s">
        <v>403</v>
      </c>
      <c r="G2324" t="s">
        <v>346</v>
      </c>
      <c r="I2324" s="42">
        <v>1001.99</v>
      </c>
      <c r="J2324" s="42"/>
      <c r="K2324" s="42"/>
      <c r="L2324" s="42">
        <v>1001.99</v>
      </c>
      <c r="N2324" s="42">
        <v>1001.99</v>
      </c>
    </row>
    <row r="2325" spans="1:14" x14ac:dyDescent="0.25">
      <c r="A2325" s="1">
        <v>46091</v>
      </c>
      <c r="B2325">
        <v>2</v>
      </c>
      <c r="C2325" t="s">
        <v>541</v>
      </c>
      <c r="D2325" t="s">
        <v>10</v>
      </c>
      <c r="E2325" t="s">
        <v>501</v>
      </c>
      <c r="F2325" t="s">
        <v>12</v>
      </c>
      <c r="G2325" t="s">
        <v>346</v>
      </c>
      <c r="I2325" s="42">
        <v>746.99</v>
      </c>
      <c r="J2325" s="42"/>
      <c r="K2325" s="42"/>
      <c r="L2325" s="42">
        <v>746.99</v>
      </c>
      <c r="N2325" s="42"/>
    </row>
    <row r="2326" spans="1:14" x14ac:dyDescent="0.25">
      <c r="A2326" s="1">
        <v>46091</v>
      </c>
      <c r="B2326">
        <v>2</v>
      </c>
      <c r="C2326" t="s">
        <v>541</v>
      </c>
      <c r="D2326" t="s">
        <v>10</v>
      </c>
      <c r="E2326" t="s">
        <v>489</v>
      </c>
      <c r="F2326" t="s">
        <v>52</v>
      </c>
      <c r="G2326" t="s">
        <v>346</v>
      </c>
      <c r="I2326" s="42">
        <v>1251.99</v>
      </c>
      <c r="J2326" s="42"/>
      <c r="K2326" s="42"/>
      <c r="L2326" s="42">
        <v>1846.99</v>
      </c>
      <c r="N2326" s="42">
        <v>1251.99</v>
      </c>
    </row>
    <row r="2327" spans="1:14" x14ac:dyDescent="0.25">
      <c r="A2327" s="1">
        <v>46091</v>
      </c>
      <c r="B2327">
        <v>2</v>
      </c>
      <c r="C2327" t="s">
        <v>541</v>
      </c>
      <c r="D2327" t="s">
        <v>10</v>
      </c>
      <c r="E2327" t="s">
        <v>440</v>
      </c>
      <c r="F2327" t="s">
        <v>411</v>
      </c>
      <c r="G2327" t="s">
        <v>346</v>
      </c>
      <c r="I2327" s="42">
        <v>1251.99</v>
      </c>
      <c r="J2327" s="42"/>
      <c r="K2327" s="42"/>
      <c r="L2327" s="42">
        <v>1251.99</v>
      </c>
      <c r="N2327" s="42">
        <v>1251.99</v>
      </c>
    </row>
    <row r="2328" spans="1:14" x14ac:dyDescent="0.25">
      <c r="A2328" s="1">
        <v>46091</v>
      </c>
      <c r="B2328">
        <v>2</v>
      </c>
      <c r="C2328" t="s">
        <v>541</v>
      </c>
      <c r="D2328" t="s">
        <v>10</v>
      </c>
      <c r="E2328" t="s">
        <v>427</v>
      </c>
      <c r="F2328" t="s">
        <v>116</v>
      </c>
      <c r="G2328" t="s">
        <v>363</v>
      </c>
      <c r="I2328" s="42">
        <v>746.99</v>
      </c>
      <c r="J2328" s="42"/>
      <c r="K2328" s="42"/>
      <c r="L2328" s="42">
        <v>746.99</v>
      </c>
      <c r="N2328" s="42">
        <v>746.99</v>
      </c>
    </row>
    <row r="2329" spans="1:14" x14ac:dyDescent="0.25">
      <c r="A2329" s="1">
        <v>46091</v>
      </c>
      <c r="B2329">
        <v>2</v>
      </c>
      <c r="C2329" t="s">
        <v>542</v>
      </c>
      <c r="D2329" t="s">
        <v>136</v>
      </c>
      <c r="E2329" t="s">
        <v>538</v>
      </c>
      <c r="F2329" t="s">
        <v>178</v>
      </c>
      <c r="G2329" t="s">
        <v>409</v>
      </c>
      <c r="I2329" s="42">
        <v>801.99</v>
      </c>
      <c r="J2329" s="42"/>
      <c r="K2329" s="42"/>
      <c r="L2329" s="42">
        <v>801.99</v>
      </c>
      <c r="N2329" s="42"/>
    </row>
    <row r="2330" spans="1:14" x14ac:dyDescent="0.25">
      <c r="A2330" s="1">
        <v>46091</v>
      </c>
      <c r="B2330">
        <v>2</v>
      </c>
      <c r="C2330" t="s">
        <v>541</v>
      </c>
      <c r="D2330" t="s">
        <v>10</v>
      </c>
      <c r="E2330" t="s">
        <v>429</v>
      </c>
      <c r="F2330" t="s">
        <v>158</v>
      </c>
      <c r="G2330" t="s">
        <v>346</v>
      </c>
      <c r="I2330" s="42">
        <v>746.99</v>
      </c>
      <c r="J2330" s="42"/>
      <c r="K2330" s="42"/>
      <c r="L2330" s="42">
        <v>746.99</v>
      </c>
      <c r="N2330" s="42">
        <v>746.99</v>
      </c>
    </row>
    <row r="2331" spans="1:14" x14ac:dyDescent="0.25">
      <c r="A2331" s="1">
        <v>46091</v>
      </c>
      <c r="B2331">
        <v>2</v>
      </c>
      <c r="C2331" t="s">
        <v>541</v>
      </c>
      <c r="D2331" t="s">
        <v>10</v>
      </c>
      <c r="E2331" t="s">
        <v>495</v>
      </c>
      <c r="F2331" t="s">
        <v>33</v>
      </c>
      <c r="G2331" t="s">
        <v>349</v>
      </c>
      <c r="I2331" s="42">
        <v>901.99</v>
      </c>
      <c r="J2331" s="42">
        <v>0.01</v>
      </c>
      <c r="K2331" s="42"/>
      <c r="L2331" s="42">
        <v>902</v>
      </c>
      <c r="N2331" s="42">
        <v>902</v>
      </c>
    </row>
    <row r="2332" spans="1:14" x14ac:dyDescent="0.25">
      <c r="A2332" s="1">
        <v>46091</v>
      </c>
      <c r="B2332">
        <v>2</v>
      </c>
      <c r="C2332" t="s">
        <v>541</v>
      </c>
      <c r="D2332" t="s">
        <v>10</v>
      </c>
      <c r="E2332" t="s">
        <v>537</v>
      </c>
      <c r="F2332" t="s">
        <v>407</v>
      </c>
      <c r="G2332" t="s">
        <v>346</v>
      </c>
      <c r="I2332" s="42">
        <v>801.99</v>
      </c>
      <c r="J2332" s="42"/>
      <c r="K2332" s="42"/>
      <c r="L2332" s="42">
        <v>801.99</v>
      </c>
      <c r="N2332" s="42">
        <v>801.99</v>
      </c>
    </row>
    <row r="2333" spans="1:14" x14ac:dyDescent="0.25">
      <c r="A2333" s="1">
        <v>46091</v>
      </c>
      <c r="B2333">
        <v>2</v>
      </c>
      <c r="C2333" t="s">
        <v>542</v>
      </c>
      <c r="D2333" t="s">
        <v>99</v>
      </c>
      <c r="E2333" t="s">
        <v>350</v>
      </c>
      <c r="F2333" t="s">
        <v>12</v>
      </c>
      <c r="G2333" t="s">
        <v>349</v>
      </c>
      <c r="I2333" s="42">
        <v>801.99</v>
      </c>
      <c r="J2333" s="42"/>
      <c r="K2333" s="42"/>
      <c r="L2333" s="42">
        <v>801.99</v>
      </c>
      <c r="N2333" s="42"/>
    </row>
    <row r="2334" spans="1:14" x14ac:dyDescent="0.25">
      <c r="A2334" s="1">
        <v>46091</v>
      </c>
      <c r="B2334">
        <v>2</v>
      </c>
      <c r="C2334" t="s">
        <v>542</v>
      </c>
      <c r="D2334" t="s">
        <v>706</v>
      </c>
      <c r="E2334" t="s">
        <v>392</v>
      </c>
      <c r="F2334" t="s">
        <v>393</v>
      </c>
      <c r="G2334" t="s">
        <v>349</v>
      </c>
      <c r="I2334" s="42">
        <v>896.99</v>
      </c>
      <c r="J2334" s="42"/>
      <c r="K2334" s="42"/>
      <c r="L2334" s="42">
        <v>896.99</v>
      </c>
      <c r="N2334" s="42"/>
    </row>
    <row r="2335" spans="1:14" x14ac:dyDescent="0.25">
      <c r="A2335" s="1">
        <v>46091</v>
      </c>
      <c r="B2335">
        <v>2</v>
      </c>
      <c r="C2335" t="s">
        <v>542</v>
      </c>
      <c r="D2335" t="s">
        <v>89</v>
      </c>
      <c r="E2335" t="s">
        <v>473</v>
      </c>
      <c r="F2335" t="s">
        <v>158</v>
      </c>
      <c r="G2335" t="s">
        <v>346</v>
      </c>
      <c r="I2335" s="42">
        <v>746.99</v>
      </c>
      <c r="J2335" s="42"/>
      <c r="K2335" s="42"/>
      <c r="L2335" s="42">
        <v>746.99</v>
      </c>
      <c r="N2335" s="42"/>
    </row>
    <row r="2336" spans="1:14" x14ac:dyDescent="0.25">
      <c r="A2336" s="1">
        <v>46091</v>
      </c>
      <c r="B2336">
        <v>2</v>
      </c>
      <c r="C2336" t="s">
        <v>542</v>
      </c>
      <c r="D2336" t="s">
        <v>89</v>
      </c>
      <c r="E2336" t="s">
        <v>347</v>
      </c>
      <c r="F2336" t="s">
        <v>348</v>
      </c>
      <c r="G2336" t="s">
        <v>349</v>
      </c>
      <c r="I2336" s="42">
        <v>801.99</v>
      </c>
      <c r="J2336" s="42"/>
      <c r="K2336" s="42"/>
      <c r="L2336" s="42">
        <v>801.99</v>
      </c>
      <c r="N2336" s="42"/>
    </row>
    <row r="2337" spans="1:14" x14ac:dyDescent="0.25">
      <c r="A2337" s="1">
        <v>46091</v>
      </c>
      <c r="B2337">
        <v>2</v>
      </c>
      <c r="C2337" t="s">
        <v>542</v>
      </c>
      <c r="D2337" t="s">
        <v>89</v>
      </c>
      <c r="E2337" t="s">
        <v>377</v>
      </c>
      <c r="F2337" t="s">
        <v>158</v>
      </c>
      <c r="G2337" t="s">
        <v>378</v>
      </c>
      <c r="I2337" s="42">
        <v>746.99</v>
      </c>
      <c r="J2337" s="42"/>
      <c r="K2337" s="42"/>
      <c r="L2337" s="42">
        <v>746.99</v>
      </c>
      <c r="N2337" s="42"/>
    </row>
    <row r="2338" spans="1:14" x14ac:dyDescent="0.25">
      <c r="A2338" s="1">
        <v>46091</v>
      </c>
      <c r="B2338">
        <v>2</v>
      </c>
      <c r="C2338" t="s">
        <v>542</v>
      </c>
      <c r="D2338" t="s">
        <v>336</v>
      </c>
      <c r="E2338" t="s">
        <v>449</v>
      </c>
      <c r="F2338" t="s">
        <v>41</v>
      </c>
      <c r="G2338" t="s">
        <v>349</v>
      </c>
      <c r="I2338" s="42">
        <v>746.99</v>
      </c>
      <c r="J2338" s="42"/>
      <c r="K2338" s="42"/>
      <c r="L2338" s="42">
        <v>746.99</v>
      </c>
      <c r="N2338" s="42"/>
    </row>
    <row r="2339" spans="1:14" x14ac:dyDescent="0.25">
      <c r="A2339" s="1">
        <v>46091</v>
      </c>
      <c r="B2339">
        <v>2</v>
      </c>
      <c r="C2339" t="s">
        <v>542</v>
      </c>
      <c r="D2339" t="s">
        <v>706</v>
      </c>
      <c r="E2339" t="s">
        <v>454</v>
      </c>
      <c r="F2339" t="s">
        <v>455</v>
      </c>
      <c r="G2339" t="s">
        <v>349</v>
      </c>
      <c r="I2339" s="42">
        <v>831.99</v>
      </c>
      <c r="J2339" s="42"/>
      <c r="K2339" s="42"/>
      <c r="L2339" s="42">
        <v>831.99</v>
      </c>
      <c r="N2339" s="42"/>
    </row>
    <row r="2340" spans="1:14" x14ac:dyDescent="0.25">
      <c r="A2340" s="1">
        <v>46091</v>
      </c>
      <c r="B2340">
        <v>2</v>
      </c>
      <c r="C2340" t="s">
        <v>541</v>
      </c>
      <c r="D2340" t="s">
        <v>10</v>
      </c>
      <c r="E2340" t="s">
        <v>486</v>
      </c>
      <c r="F2340" t="s">
        <v>52</v>
      </c>
      <c r="G2340" t="s">
        <v>346</v>
      </c>
      <c r="I2340" s="42">
        <v>1251.99</v>
      </c>
      <c r="J2340" s="42"/>
      <c r="K2340" s="42"/>
      <c r="L2340" s="42">
        <v>1296.99</v>
      </c>
      <c r="N2340" s="42">
        <v>1251.99</v>
      </c>
    </row>
    <row r="2341" spans="1:14" x14ac:dyDescent="0.25">
      <c r="A2341" s="1">
        <v>46091</v>
      </c>
      <c r="B2341">
        <v>2</v>
      </c>
      <c r="C2341" t="s">
        <v>542</v>
      </c>
      <c r="D2341" t="s">
        <v>99</v>
      </c>
      <c r="E2341" t="s">
        <v>519</v>
      </c>
      <c r="F2341" t="s">
        <v>520</v>
      </c>
      <c r="G2341" t="s">
        <v>349</v>
      </c>
      <c r="I2341" s="42">
        <v>746.99</v>
      </c>
      <c r="J2341" s="42"/>
      <c r="K2341" s="42"/>
      <c r="L2341" s="42">
        <v>746.99</v>
      </c>
      <c r="N2341" s="42"/>
    </row>
    <row r="2342" spans="1:14" x14ac:dyDescent="0.25">
      <c r="A2342" s="1">
        <v>46091</v>
      </c>
      <c r="B2342">
        <v>2</v>
      </c>
      <c r="C2342" t="s">
        <v>542</v>
      </c>
      <c r="D2342" t="s">
        <v>99</v>
      </c>
      <c r="E2342" t="s">
        <v>431</v>
      </c>
      <c r="F2342" t="s">
        <v>230</v>
      </c>
      <c r="G2342" t="s">
        <v>346</v>
      </c>
      <c r="I2342" s="42">
        <v>746.99</v>
      </c>
      <c r="J2342" s="42"/>
      <c r="K2342" s="42"/>
      <c r="L2342" s="42">
        <v>746.99</v>
      </c>
      <c r="N2342" s="42"/>
    </row>
    <row r="2343" spans="1:14" x14ac:dyDescent="0.25">
      <c r="A2343" s="1">
        <v>46091</v>
      </c>
      <c r="B2343">
        <v>2</v>
      </c>
      <c r="C2343" t="s">
        <v>542</v>
      </c>
      <c r="D2343" t="s">
        <v>336</v>
      </c>
      <c r="E2343" t="s">
        <v>367</v>
      </c>
      <c r="F2343" t="s">
        <v>52</v>
      </c>
      <c r="G2343" t="s">
        <v>346</v>
      </c>
      <c r="I2343" s="42">
        <v>1251.99</v>
      </c>
      <c r="J2343" s="42"/>
      <c r="K2343" s="42"/>
      <c r="L2343" s="42">
        <v>1251.99</v>
      </c>
      <c r="N2343" s="42"/>
    </row>
    <row r="2344" spans="1:14" x14ac:dyDescent="0.25">
      <c r="A2344" s="1">
        <v>46091</v>
      </c>
      <c r="B2344">
        <v>2</v>
      </c>
      <c r="C2344" t="s">
        <v>541</v>
      </c>
      <c r="D2344" t="s">
        <v>10</v>
      </c>
      <c r="E2344" t="s">
        <v>527</v>
      </c>
      <c r="F2344" t="s">
        <v>158</v>
      </c>
      <c r="G2344" t="s">
        <v>346</v>
      </c>
      <c r="I2344" s="42">
        <v>746.99</v>
      </c>
      <c r="J2344" s="42"/>
      <c r="K2344" s="42"/>
      <c r="L2344" s="42">
        <v>746.99</v>
      </c>
      <c r="N2344" s="42">
        <v>746.99</v>
      </c>
    </row>
    <row r="2345" spans="1:14" x14ac:dyDescent="0.25">
      <c r="A2345" s="1">
        <v>46091</v>
      </c>
      <c r="B2345">
        <v>2</v>
      </c>
      <c r="C2345" t="s">
        <v>542</v>
      </c>
      <c r="D2345" t="s">
        <v>336</v>
      </c>
      <c r="E2345" t="s">
        <v>528</v>
      </c>
      <c r="F2345" t="s">
        <v>158</v>
      </c>
      <c r="G2345" t="s">
        <v>346</v>
      </c>
      <c r="I2345" s="42">
        <v>746.99</v>
      </c>
      <c r="J2345" s="42"/>
      <c r="K2345" s="42"/>
      <c r="L2345" s="42">
        <v>746.99</v>
      </c>
      <c r="N2345" s="42"/>
    </row>
    <row r="2346" spans="1:14" x14ac:dyDescent="0.25">
      <c r="A2346" s="1">
        <v>46091</v>
      </c>
      <c r="B2346">
        <v>2</v>
      </c>
      <c r="C2346" t="s">
        <v>542</v>
      </c>
      <c r="D2346" t="s">
        <v>336</v>
      </c>
      <c r="E2346" t="s">
        <v>530</v>
      </c>
      <c r="F2346" t="s">
        <v>52</v>
      </c>
      <c r="G2346" t="s">
        <v>515</v>
      </c>
      <c r="I2346" s="42">
        <v>1251.99</v>
      </c>
      <c r="J2346" s="42"/>
      <c r="K2346" s="42"/>
      <c r="L2346" s="42">
        <v>1251.99</v>
      </c>
      <c r="N2346" s="42"/>
    </row>
    <row r="2347" spans="1:14" x14ac:dyDescent="0.25">
      <c r="A2347" s="1">
        <v>46091</v>
      </c>
      <c r="B2347">
        <v>2</v>
      </c>
      <c r="C2347" t="s">
        <v>541</v>
      </c>
      <c r="D2347" t="s">
        <v>10</v>
      </c>
      <c r="E2347" t="s">
        <v>51</v>
      </c>
      <c r="F2347" t="s">
        <v>52</v>
      </c>
      <c r="G2347" t="s">
        <v>13</v>
      </c>
      <c r="I2347" s="42">
        <v>1251.99</v>
      </c>
      <c r="J2347" s="42"/>
      <c r="K2347" s="42"/>
      <c r="L2347" s="42">
        <v>1251.99</v>
      </c>
      <c r="N2347" s="42">
        <v>1251.99</v>
      </c>
    </row>
    <row r="2348" spans="1:14" x14ac:dyDescent="0.25">
      <c r="A2348" s="1">
        <v>46091</v>
      </c>
      <c r="B2348">
        <v>2</v>
      </c>
      <c r="C2348" t="s">
        <v>541</v>
      </c>
      <c r="D2348" t="s">
        <v>10</v>
      </c>
      <c r="E2348" t="s">
        <v>305</v>
      </c>
      <c r="F2348" t="s">
        <v>41</v>
      </c>
      <c r="G2348" t="s">
        <v>111</v>
      </c>
      <c r="I2348" s="42">
        <v>746.99</v>
      </c>
      <c r="J2348" s="42"/>
      <c r="K2348" s="42"/>
      <c r="L2348" s="42">
        <v>746.99</v>
      </c>
      <c r="N2348" s="42">
        <v>746.99</v>
      </c>
    </row>
    <row r="2349" spans="1:14" x14ac:dyDescent="0.25">
      <c r="A2349" s="1">
        <v>46091</v>
      </c>
      <c r="B2349">
        <v>2</v>
      </c>
      <c r="C2349" t="s">
        <v>541</v>
      </c>
      <c r="D2349" t="s">
        <v>10</v>
      </c>
      <c r="E2349" t="s">
        <v>75</v>
      </c>
      <c r="F2349" t="s">
        <v>76</v>
      </c>
      <c r="G2349" t="s">
        <v>77</v>
      </c>
      <c r="I2349" s="42">
        <v>1451.99</v>
      </c>
      <c r="J2349" s="42">
        <v>30</v>
      </c>
      <c r="K2349" s="42"/>
      <c r="L2349" s="42">
        <v>1481.99</v>
      </c>
      <c r="N2349" s="42">
        <v>1481.99</v>
      </c>
    </row>
    <row r="2350" spans="1:14" x14ac:dyDescent="0.25">
      <c r="A2350" s="1">
        <v>46091</v>
      </c>
      <c r="B2350">
        <v>2</v>
      </c>
      <c r="C2350" t="s">
        <v>541</v>
      </c>
      <c r="D2350" t="s">
        <v>10</v>
      </c>
      <c r="E2350" t="s">
        <v>11</v>
      </c>
      <c r="F2350" t="s">
        <v>12</v>
      </c>
      <c r="G2350" t="s">
        <v>13</v>
      </c>
      <c r="I2350" s="42">
        <v>746.99</v>
      </c>
      <c r="J2350" s="42"/>
      <c r="K2350" s="42">
        <v>214.85</v>
      </c>
      <c r="L2350" s="42">
        <v>532.14</v>
      </c>
      <c r="N2350" s="42">
        <v>532.14</v>
      </c>
    </row>
    <row r="2351" spans="1:14" x14ac:dyDescent="0.25">
      <c r="A2351" s="1">
        <v>46091</v>
      </c>
      <c r="B2351">
        <v>2</v>
      </c>
      <c r="C2351" t="s">
        <v>541</v>
      </c>
      <c r="D2351" t="s">
        <v>10</v>
      </c>
      <c r="E2351" t="s">
        <v>15</v>
      </c>
      <c r="F2351" t="s">
        <v>16</v>
      </c>
      <c r="G2351" t="s">
        <v>13</v>
      </c>
      <c r="I2351" s="42">
        <v>1251.99</v>
      </c>
      <c r="J2351" s="42">
        <v>30</v>
      </c>
      <c r="K2351" s="42"/>
      <c r="L2351" s="42">
        <v>1281.99</v>
      </c>
      <c r="N2351" s="42">
        <v>1000</v>
      </c>
    </row>
    <row r="2352" spans="1:14" x14ac:dyDescent="0.25">
      <c r="A2352" s="1">
        <v>46091</v>
      </c>
      <c r="B2352">
        <v>2</v>
      </c>
      <c r="C2352" t="s">
        <v>541</v>
      </c>
      <c r="D2352" t="s">
        <v>10</v>
      </c>
      <c r="E2352" t="s">
        <v>18</v>
      </c>
      <c r="F2352" t="s">
        <v>12</v>
      </c>
      <c r="G2352" t="s">
        <v>13</v>
      </c>
      <c r="I2352" s="42">
        <v>746.99</v>
      </c>
      <c r="J2352" s="42"/>
      <c r="K2352" s="42">
        <v>1.99</v>
      </c>
      <c r="L2352" s="42">
        <v>745</v>
      </c>
      <c r="N2352" s="42">
        <v>745</v>
      </c>
    </row>
    <row r="2353" spans="1:14" x14ac:dyDescent="0.25">
      <c r="A2353" s="1">
        <v>46091</v>
      </c>
      <c r="B2353">
        <v>2</v>
      </c>
      <c r="C2353" t="s">
        <v>541</v>
      </c>
      <c r="D2353" t="s">
        <v>10</v>
      </c>
      <c r="E2353" t="s">
        <v>20</v>
      </c>
      <c r="F2353" t="s">
        <v>21</v>
      </c>
      <c r="G2353" t="s">
        <v>22</v>
      </c>
      <c r="I2353" s="42">
        <v>651.99</v>
      </c>
      <c r="J2353" s="42"/>
      <c r="K2353" s="42"/>
      <c r="L2353" s="42">
        <v>651.99</v>
      </c>
      <c r="N2353" s="42"/>
    </row>
    <row r="2354" spans="1:14" x14ac:dyDescent="0.25">
      <c r="A2354" s="1">
        <v>46091</v>
      </c>
      <c r="B2354">
        <v>2</v>
      </c>
      <c r="C2354" t="s">
        <v>541</v>
      </c>
      <c r="D2354" t="s">
        <v>10</v>
      </c>
      <c r="E2354" t="s">
        <v>27</v>
      </c>
      <c r="F2354" t="s">
        <v>28</v>
      </c>
      <c r="G2354" t="s">
        <v>13</v>
      </c>
      <c r="I2354" s="42">
        <v>931.99</v>
      </c>
      <c r="J2354" s="42"/>
      <c r="K2354" s="42">
        <v>1.99</v>
      </c>
      <c r="L2354" s="42">
        <v>930</v>
      </c>
      <c r="N2354" s="42">
        <v>930</v>
      </c>
    </row>
    <row r="2355" spans="1:14" x14ac:dyDescent="0.25">
      <c r="A2355" s="1">
        <v>46091</v>
      </c>
      <c r="B2355">
        <v>2</v>
      </c>
      <c r="C2355" t="s">
        <v>541</v>
      </c>
      <c r="D2355" t="s">
        <v>10</v>
      </c>
      <c r="E2355" t="s">
        <v>32</v>
      </c>
      <c r="F2355" t="s">
        <v>33</v>
      </c>
      <c r="G2355" t="s">
        <v>13</v>
      </c>
      <c r="I2355" s="42">
        <v>851.99</v>
      </c>
      <c r="J2355" s="42"/>
      <c r="K2355" s="42"/>
      <c r="L2355" s="42">
        <v>851.99</v>
      </c>
      <c r="N2355" s="42">
        <v>851.99</v>
      </c>
    </row>
    <row r="2356" spans="1:14" x14ac:dyDescent="0.25">
      <c r="A2356" s="1">
        <v>46091</v>
      </c>
      <c r="B2356">
        <v>2</v>
      </c>
      <c r="C2356" t="s">
        <v>541</v>
      </c>
      <c r="D2356" t="s">
        <v>10</v>
      </c>
      <c r="E2356" t="s">
        <v>36</v>
      </c>
      <c r="F2356" t="s">
        <v>37</v>
      </c>
      <c r="G2356" t="s">
        <v>38</v>
      </c>
      <c r="I2356" s="42">
        <v>746.99</v>
      </c>
      <c r="J2356" s="42"/>
      <c r="K2356" s="42"/>
      <c r="L2356" s="42">
        <v>746.99</v>
      </c>
      <c r="N2356" s="42">
        <v>746.99</v>
      </c>
    </row>
    <row r="2357" spans="1:14" x14ac:dyDescent="0.25">
      <c r="A2357" s="1">
        <v>46091</v>
      </c>
      <c r="B2357">
        <v>2</v>
      </c>
      <c r="C2357" t="s">
        <v>541</v>
      </c>
      <c r="D2357" t="s">
        <v>10</v>
      </c>
      <c r="E2357" t="s">
        <v>40</v>
      </c>
      <c r="F2357" t="s">
        <v>41</v>
      </c>
      <c r="G2357" t="s">
        <v>42</v>
      </c>
      <c r="I2357" s="42">
        <v>746.99</v>
      </c>
      <c r="J2357" s="42"/>
      <c r="K2357" s="42">
        <v>1.99</v>
      </c>
      <c r="L2357" s="42">
        <v>745</v>
      </c>
      <c r="N2357" s="42">
        <v>745</v>
      </c>
    </row>
    <row r="2358" spans="1:14" x14ac:dyDescent="0.25">
      <c r="A2358" s="1">
        <v>46091</v>
      </c>
      <c r="B2358">
        <v>2</v>
      </c>
      <c r="C2358" t="s">
        <v>541</v>
      </c>
      <c r="D2358" t="s">
        <v>10</v>
      </c>
      <c r="E2358" t="s">
        <v>44</v>
      </c>
      <c r="F2358" t="s">
        <v>12</v>
      </c>
      <c r="G2358" t="s">
        <v>13</v>
      </c>
      <c r="I2358" s="42">
        <v>746.99</v>
      </c>
      <c r="J2358" s="42"/>
      <c r="K2358" s="42"/>
      <c r="L2358" s="42">
        <v>746.99</v>
      </c>
      <c r="N2358" s="42">
        <v>746.99</v>
      </c>
    </row>
    <row r="2359" spans="1:14" x14ac:dyDescent="0.25">
      <c r="A2359" s="1">
        <v>46091</v>
      </c>
      <c r="B2359">
        <v>2</v>
      </c>
      <c r="C2359" t="s">
        <v>541</v>
      </c>
      <c r="D2359" t="s">
        <v>10</v>
      </c>
      <c r="E2359" t="s">
        <v>54</v>
      </c>
      <c r="F2359" t="s">
        <v>55</v>
      </c>
      <c r="G2359" t="s">
        <v>56</v>
      </c>
      <c r="I2359" s="42">
        <v>746.99</v>
      </c>
      <c r="J2359" s="42">
        <v>60</v>
      </c>
      <c r="K2359" s="42"/>
      <c r="L2359" s="42">
        <v>806.99</v>
      </c>
      <c r="N2359" s="42">
        <v>700</v>
      </c>
    </row>
    <row r="2360" spans="1:14" x14ac:dyDescent="0.25">
      <c r="A2360" s="1">
        <v>46091</v>
      </c>
      <c r="B2360">
        <v>2</v>
      </c>
      <c r="C2360" t="s">
        <v>541</v>
      </c>
      <c r="D2360" t="s">
        <v>10</v>
      </c>
      <c r="E2360" t="s">
        <v>58</v>
      </c>
      <c r="F2360" t="s">
        <v>37</v>
      </c>
      <c r="G2360" t="s">
        <v>38</v>
      </c>
      <c r="I2360" s="42">
        <v>746.99</v>
      </c>
      <c r="J2360" s="42"/>
      <c r="K2360" s="42"/>
      <c r="L2360" s="42">
        <v>746.99</v>
      </c>
      <c r="N2360" s="42">
        <v>746.99</v>
      </c>
    </row>
    <row r="2361" spans="1:14" x14ac:dyDescent="0.25">
      <c r="A2361" s="1">
        <v>46091</v>
      </c>
      <c r="B2361">
        <v>2</v>
      </c>
      <c r="C2361" t="s">
        <v>541</v>
      </c>
      <c r="D2361" t="s">
        <v>10</v>
      </c>
      <c r="E2361" t="s">
        <v>60</v>
      </c>
      <c r="F2361" t="s">
        <v>52</v>
      </c>
      <c r="G2361" t="s">
        <v>38</v>
      </c>
      <c r="I2361" s="42">
        <v>1251.99</v>
      </c>
      <c r="J2361" s="42">
        <v>30</v>
      </c>
      <c r="K2361" s="42"/>
      <c r="L2361" s="42">
        <v>1281.99</v>
      </c>
      <c r="N2361" s="42">
        <v>830</v>
      </c>
    </row>
    <row r="2362" spans="1:14" x14ac:dyDescent="0.25">
      <c r="A2362" s="1">
        <v>46091</v>
      </c>
      <c r="B2362">
        <v>2</v>
      </c>
      <c r="C2362" t="s">
        <v>541</v>
      </c>
      <c r="D2362" t="s">
        <v>10</v>
      </c>
      <c r="E2362" t="s">
        <v>62</v>
      </c>
      <c r="F2362" t="s">
        <v>12</v>
      </c>
      <c r="G2362" t="s">
        <v>13</v>
      </c>
      <c r="I2362" s="42">
        <v>746.99</v>
      </c>
      <c r="J2362" s="42"/>
      <c r="K2362" s="42"/>
      <c r="L2362" s="42">
        <v>746.99</v>
      </c>
      <c r="N2362" s="42">
        <v>746.99</v>
      </c>
    </row>
    <row r="2363" spans="1:14" x14ac:dyDescent="0.25">
      <c r="A2363" s="1">
        <v>46091</v>
      </c>
      <c r="B2363">
        <v>2</v>
      </c>
      <c r="C2363" t="s">
        <v>541</v>
      </c>
      <c r="D2363" t="s">
        <v>10</v>
      </c>
      <c r="E2363" t="s">
        <v>64</v>
      </c>
      <c r="F2363" t="s">
        <v>65</v>
      </c>
      <c r="G2363" t="s">
        <v>66</v>
      </c>
      <c r="I2363" s="42">
        <v>1381.99</v>
      </c>
      <c r="J2363" s="42">
        <v>30</v>
      </c>
      <c r="K2363" s="42"/>
      <c r="L2363" s="42">
        <v>1411.99</v>
      </c>
      <c r="N2363" s="42">
        <v>1411.99</v>
      </c>
    </row>
    <row r="2364" spans="1:14" x14ac:dyDescent="0.25">
      <c r="A2364" s="1">
        <v>46091</v>
      </c>
      <c r="B2364">
        <v>2</v>
      </c>
      <c r="C2364" t="s">
        <v>541</v>
      </c>
      <c r="D2364" t="s">
        <v>10</v>
      </c>
      <c r="E2364" t="s">
        <v>68</v>
      </c>
      <c r="F2364" t="s">
        <v>69</v>
      </c>
      <c r="G2364" t="s">
        <v>70</v>
      </c>
      <c r="I2364" s="42">
        <v>801.99</v>
      </c>
      <c r="J2364" s="42">
        <v>0.01</v>
      </c>
      <c r="K2364" s="42"/>
      <c r="L2364" s="42">
        <v>802</v>
      </c>
      <c r="N2364" s="42">
        <v>802</v>
      </c>
    </row>
    <row r="2365" spans="1:14" x14ac:dyDescent="0.25">
      <c r="A2365" s="1">
        <v>46091</v>
      </c>
      <c r="B2365">
        <v>2</v>
      </c>
      <c r="C2365" t="s">
        <v>541</v>
      </c>
      <c r="D2365" t="s">
        <v>10</v>
      </c>
      <c r="E2365" t="s">
        <v>72</v>
      </c>
      <c r="F2365" t="s">
        <v>73</v>
      </c>
      <c r="G2365" t="s">
        <v>13</v>
      </c>
      <c r="I2365" s="42">
        <v>1850</v>
      </c>
      <c r="J2365" s="42"/>
      <c r="K2365" s="42"/>
      <c r="L2365" s="42">
        <v>1850</v>
      </c>
      <c r="N2365" s="42"/>
    </row>
    <row r="2366" spans="1:14" x14ac:dyDescent="0.25">
      <c r="A2366" s="1">
        <v>46091</v>
      </c>
      <c r="B2366">
        <v>2</v>
      </c>
      <c r="C2366" t="s">
        <v>541</v>
      </c>
      <c r="D2366" t="s">
        <v>10</v>
      </c>
      <c r="E2366" t="s">
        <v>79</v>
      </c>
      <c r="F2366" t="s">
        <v>76</v>
      </c>
      <c r="G2366" t="s">
        <v>77</v>
      </c>
      <c r="I2366" s="42">
        <v>1451.99</v>
      </c>
      <c r="J2366" s="42"/>
      <c r="K2366" s="42"/>
      <c r="L2366" s="42">
        <v>1451.99</v>
      </c>
      <c r="N2366" s="42">
        <v>1451.99</v>
      </c>
    </row>
    <row r="2367" spans="1:14" x14ac:dyDescent="0.25">
      <c r="A2367" s="1">
        <v>46091</v>
      </c>
      <c r="B2367">
        <v>2</v>
      </c>
      <c r="C2367" t="s">
        <v>541</v>
      </c>
      <c r="D2367" t="s">
        <v>10</v>
      </c>
      <c r="E2367" t="s">
        <v>46</v>
      </c>
      <c r="F2367" t="s">
        <v>12</v>
      </c>
      <c r="G2367" t="s">
        <v>13</v>
      </c>
      <c r="I2367" s="42">
        <v>746.99</v>
      </c>
      <c r="J2367" s="42">
        <v>0.01</v>
      </c>
      <c r="K2367" s="42"/>
      <c r="L2367" s="42">
        <v>747</v>
      </c>
      <c r="N2367" s="42">
        <v>747</v>
      </c>
    </row>
    <row r="2368" spans="1:14" x14ac:dyDescent="0.25">
      <c r="A2368" s="1">
        <v>46091</v>
      </c>
      <c r="B2368">
        <v>2</v>
      </c>
      <c r="C2368" t="s">
        <v>541</v>
      </c>
      <c r="D2368" t="s">
        <v>10</v>
      </c>
      <c r="E2368" t="s">
        <v>162</v>
      </c>
      <c r="F2368" t="s">
        <v>158</v>
      </c>
      <c r="G2368" t="s">
        <v>104</v>
      </c>
      <c r="I2368" s="42">
        <v>746.99</v>
      </c>
      <c r="J2368" s="42"/>
      <c r="K2368" s="42"/>
      <c r="L2368" s="42">
        <v>1341.99</v>
      </c>
      <c r="N2368" s="42">
        <v>746.99</v>
      </c>
    </row>
    <row r="2369" spans="1:14" x14ac:dyDescent="0.25">
      <c r="A2369" s="1">
        <v>46091</v>
      </c>
      <c r="B2369">
        <v>2</v>
      </c>
      <c r="C2369" t="s">
        <v>541</v>
      </c>
      <c r="D2369" t="s">
        <v>336</v>
      </c>
      <c r="E2369" t="s">
        <v>288</v>
      </c>
      <c r="F2369" t="s">
        <v>55</v>
      </c>
      <c r="G2369" t="s">
        <v>104</v>
      </c>
      <c r="I2369" s="42">
        <v>746.99</v>
      </c>
      <c r="J2369" s="42"/>
      <c r="K2369" s="42"/>
      <c r="L2369" s="42">
        <v>746.99</v>
      </c>
      <c r="N2369" s="42"/>
    </row>
    <row r="2370" spans="1:14" x14ac:dyDescent="0.25">
      <c r="A2370" s="1">
        <v>46091</v>
      </c>
      <c r="B2370">
        <v>2</v>
      </c>
      <c r="C2370" t="s">
        <v>541</v>
      </c>
      <c r="D2370" t="s">
        <v>10</v>
      </c>
      <c r="E2370" t="s">
        <v>300</v>
      </c>
      <c r="F2370" t="s">
        <v>301</v>
      </c>
      <c r="G2370" t="s">
        <v>104</v>
      </c>
      <c r="I2370" s="42">
        <v>746.99</v>
      </c>
      <c r="J2370" s="42"/>
      <c r="K2370" s="42"/>
      <c r="L2370" s="42">
        <v>746.99</v>
      </c>
      <c r="N2370" s="42">
        <v>746.99</v>
      </c>
    </row>
    <row r="2371" spans="1:14" x14ac:dyDescent="0.25">
      <c r="A2371" s="1">
        <v>46091</v>
      </c>
      <c r="B2371">
        <v>2</v>
      </c>
      <c r="C2371" t="s">
        <v>541</v>
      </c>
      <c r="D2371" t="s">
        <v>10</v>
      </c>
      <c r="E2371" t="s">
        <v>327</v>
      </c>
      <c r="F2371" t="s">
        <v>158</v>
      </c>
      <c r="G2371" t="s">
        <v>22</v>
      </c>
      <c r="I2371" s="42">
        <v>746.99</v>
      </c>
      <c r="J2371" s="42"/>
      <c r="K2371" s="42"/>
      <c r="L2371" s="42">
        <v>746.99</v>
      </c>
      <c r="N2371" s="42">
        <v>746.99</v>
      </c>
    </row>
    <row r="2372" spans="1:14" x14ac:dyDescent="0.25">
      <c r="A2372" s="1">
        <v>46091</v>
      </c>
      <c r="B2372">
        <v>2</v>
      </c>
      <c r="C2372" t="s">
        <v>541</v>
      </c>
      <c r="D2372" t="s">
        <v>10</v>
      </c>
      <c r="E2372" t="s">
        <v>321</v>
      </c>
      <c r="F2372" t="s">
        <v>158</v>
      </c>
      <c r="G2372" t="s">
        <v>13</v>
      </c>
      <c r="I2372" s="42">
        <v>746.99</v>
      </c>
      <c r="J2372" s="42"/>
      <c r="K2372" s="42"/>
      <c r="L2372" s="42">
        <v>746.99</v>
      </c>
      <c r="N2372" s="42">
        <v>746.99</v>
      </c>
    </row>
    <row r="2373" spans="1:14" x14ac:dyDescent="0.25">
      <c r="A2373" s="1">
        <v>46091</v>
      </c>
      <c r="B2373">
        <v>2</v>
      </c>
      <c r="C2373" t="s">
        <v>541</v>
      </c>
      <c r="D2373" t="s">
        <v>10</v>
      </c>
      <c r="E2373" t="s">
        <v>322</v>
      </c>
      <c r="F2373" t="s">
        <v>158</v>
      </c>
      <c r="G2373" t="s">
        <v>13</v>
      </c>
      <c r="I2373" s="42">
        <v>746.99</v>
      </c>
      <c r="J2373" s="42"/>
      <c r="K2373" s="42"/>
      <c r="L2373" s="42">
        <v>746.99</v>
      </c>
      <c r="N2373" s="42"/>
    </row>
    <row r="2374" spans="1:14" x14ac:dyDescent="0.25">
      <c r="A2374" s="1">
        <v>46091</v>
      </c>
      <c r="B2374">
        <v>2</v>
      </c>
      <c r="C2374" t="s">
        <v>541</v>
      </c>
      <c r="D2374" t="s">
        <v>10</v>
      </c>
      <c r="E2374" t="s">
        <v>310</v>
      </c>
      <c r="F2374" t="s">
        <v>28</v>
      </c>
      <c r="G2374" t="s">
        <v>13</v>
      </c>
      <c r="I2374" s="42">
        <v>931.99</v>
      </c>
      <c r="J2374" s="42">
        <v>0.01</v>
      </c>
      <c r="K2374" s="42"/>
      <c r="L2374" s="42">
        <v>932</v>
      </c>
      <c r="N2374" s="42">
        <v>932</v>
      </c>
    </row>
    <row r="2375" spans="1:14" x14ac:dyDescent="0.25">
      <c r="A2375" s="1">
        <v>46091</v>
      </c>
      <c r="B2375">
        <v>2</v>
      </c>
      <c r="C2375" t="s">
        <v>541</v>
      </c>
      <c r="D2375" t="s">
        <v>10</v>
      </c>
      <c r="E2375" t="s">
        <v>303</v>
      </c>
      <c r="F2375" t="s">
        <v>33</v>
      </c>
      <c r="G2375" t="s">
        <v>13</v>
      </c>
      <c r="I2375" s="42">
        <v>851.99</v>
      </c>
      <c r="J2375" s="42"/>
      <c r="K2375" s="42"/>
      <c r="L2375" s="42">
        <v>851.99</v>
      </c>
      <c r="N2375" s="42">
        <v>851.99</v>
      </c>
    </row>
    <row r="2376" spans="1:14" x14ac:dyDescent="0.25">
      <c r="A2376" s="1">
        <v>46091</v>
      </c>
      <c r="B2376">
        <v>2</v>
      </c>
      <c r="C2376" t="s">
        <v>541</v>
      </c>
      <c r="D2376" t="s">
        <v>10</v>
      </c>
      <c r="E2376" t="s">
        <v>281</v>
      </c>
      <c r="F2376" t="s">
        <v>55</v>
      </c>
      <c r="G2376" t="s">
        <v>56</v>
      </c>
      <c r="I2376" s="42">
        <v>746.99</v>
      </c>
      <c r="J2376" s="42"/>
      <c r="K2376" s="42"/>
      <c r="L2376" s="42">
        <v>746.99</v>
      </c>
      <c r="N2376" s="42">
        <v>746.99</v>
      </c>
    </row>
    <row r="2377" spans="1:14" x14ac:dyDescent="0.25">
      <c r="A2377" s="1">
        <v>46091</v>
      </c>
      <c r="B2377">
        <v>2</v>
      </c>
      <c r="C2377" t="s">
        <v>541</v>
      </c>
      <c r="D2377" t="s">
        <v>10</v>
      </c>
      <c r="E2377" t="s">
        <v>317</v>
      </c>
      <c r="F2377" t="s">
        <v>101</v>
      </c>
      <c r="G2377" t="s">
        <v>13</v>
      </c>
      <c r="I2377" s="42">
        <v>1351.99</v>
      </c>
      <c r="J2377" s="42"/>
      <c r="K2377" s="42"/>
      <c r="L2377" s="42">
        <v>1846.99</v>
      </c>
      <c r="N2377" s="42">
        <v>1351.99</v>
      </c>
    </row>
    <row r="2378" spans="1:14" x14ac:dyDescent="0.25">
      <c r="A2378" s="1">
        <v>46091</v>
      </c>
      <c r="B2378">
        <v>2</v>
      </c>
      <c r="C2378" t="s">
        <v>541</v>
      </c>
      <c r="D2378" t="s">
        <v>136</v>
      </c>
      <c r="E2378" t="s">
        <v>81</v>
      </c>
      <c r="F2378" t="s">
        <v>12</v>
      </c>
      <c r="G2378" t="s">
        <v>13</v>
      </c>
      <c r="I2378" s="42">
        <v>746.99</v>
      </c>
      <c r="J2378" s="42"/>
      <c r="K2378" s="42"/>
      <c r="L2378" s="42">
        <v>746.99</v>
      </c>
      <c r="N2378" s="42"/>
    </row>
    <row r="2379" spans="1:14" x14ac:dyDescent="0.25">
      <c r="A2379" s="1">
        <v>46091</v>
      </c>
      <c r="B2379">
        <v>2</v>
      </c>
      <c r="C2379" t="s">
        <v>541</v>
      </c>
      <c r="D2379" t="s">
        <v>10</v>
      </c>
      <c r="E2379" t="s">
        <v>83</v>
      </c>
      <c r="F2379" t="s">
        <v>41</v>
      </c>
      <c r="G2379" t="s">
        <v>13</v>
      </c>
      <c r="I2379" s="42">
        <v>746.99</v>
      </c>
      <c r="J2379" s="42"/>
      <c r="K2379" s="42">
        <v>1.99</v>
      </c>
      <c r="L2379" s="42">
        <v>745</v>
      </c>
      <c r="N2379" s="42">
        <v>745</v>
      </c>
    </row>
    <row r="2380" spans="1:14" x14ac:dyDescent="0.25">
      <c r="A2380" s="1">
        <v>46091</v>
      </c>
      <c r="B2380">
        <v>2</v>
      </c>
      <c r="C2380" t="s">
        <v>541</v>
      </c>
      <c r="D2380" t="s">
        <v>10</v>
      </c>
      <c r="E2380" t="s">
        <v>85</v>
      </c>
      <c r="F2380" t="s">
        <v>28</v>
      </c>
      <c r="G2380" t="s">
        <v>66</v>
      </c>
      <c r="I2380" s="42">
        <v>931.99</v>
      </c>
      <c r="J2380" s="42">
        <v>30.01</v>
      </c>
      <c r="K2380" s="42"/>
      <c r="L2380" s="42">
        <v>962</v>
      </c>
      <c r="N2380" s="42">
        <v>962</v>
      </c>
    </row>
    <row r="2381" spans="1:14" x14ac:dyDescent="0.25">
      <c r="A2381" s="1">
        <v>46091</v>
      </c>
      <c r="B2381">
        <v>2</v>
      </c>
      <c r="C2381" t="s">
        <v>541</v>
      </c>
      <c r="D2381" t="s">
        <v>10</v>
      </c>
      <c r="E2381" t="s">
        <v>87</v>
      </c>
      <c r="F2381" t="s">
        <v>28</v>
      </c>
      <c r="G2381" t="s">
        <v>13</v>
      </c>
      <c r="I2381" s="42">
        <v>931.99</v>
      </c>
      <c r="J2381" s="42"/>
      <c r="K2381" s="42">
        <v>1.99</v>
      </c>
      <c r="L2381" s="42">
        <v>930</v>
      </c>
      <c r="N2381" s="42">
        <v>930</v>
      </c>
    </row>
    <row r="2382" spans="1:14" x14ac:dyDescent="0.25">
      <c r="A2382" s="1">
        <v>46091</v>
      </c>
      <c r="B2382">
        <v>2</v>
      </c>
      <c r="C2382" t="s">
        <v>541</v>
      </c>
      <c r="D2382" t="s">
        <v>10</v>
      </c>
      <c r="E2382" t="s">
        <v>90</v>
      </c>
      <c r="F2382" t="s">
        <v>91</v>
      </c>
      <c r="G2382" t="s">
        <v>22</v>
      </c>
      <c r="I2382" s="42">
        <v>550</v>
      </c>
      <c r="J2382" s="42"/>
      <c r="K2382" s="42"/>
      <c r="L2382" s="42">
        <v>550</v>
      </c>
      <c r="N2382" s="42">
        <v>550</v>
      </c>
    </row>
    <row r="2383" spans="1:14" x14ac:dyDescent="0.25">
      <c r="A2383" s="1">
        <v>46091</v>
      </c>
      <c r="B2383">
        <v>2</v>
      </c>
      <c r="C2383" t="s">
        <v>541</v>
      </c>
      <c r="D2383" t="s">
        <v>10</v>
      </c>
      <c r="E2383" t="s">
        <v>102</v>
      </c>
      <c r="F2383" t="s">
        <v>103</v>
      </c>
      <c r="G2383" t="s">
        <v>104</v>
      </c>
      <c r="I2383" s="42">
        <v>801.99</v>
      </c>
      <c r="J2383" s="42"/>
      <c r="K2383" s="42"/>
      <c r="L2383" s="42">
        <v>801.99</v>
      </c>
      <c r="N2383" s="42">
        <v>801.99</v>
      </c>
    </row>
    <row r="2384" spans="1:14" x14ac:dyDescent="0.25">
      <c r="A2384" s="1">
        <v>46091</v>
      </c>
      <c r="B2384">
        <v>2</v>
      </c>
      <c r="C2384" t="s">
        <v>541</v>
      </c>
      <c r="D2384" t="s">
        <v>10</v>
      </c>
      <c r="E2384" t="s">
        <v>110</v>
      </c>
      <c r="F2384" t="s">
        <v>55</v>
      </c>
      <c r="G2384" t="s">
        <v>111</v>
      </c>
      <c r="I2384" s="42">
        <v>746.99</v>
      </c>
      <c r="J2384" s="42">
        <v>90.01</v>
      </c>
      <c r="K2384" s="42"/>
      <c r="L2384" s="42">
        <v>837</v>
      </c>
      <c r="N2384" s="42">
        <v>837</v>
      </c>
    </row>
    <row r="2385" spans="1:14" x14ac:dyDescent="0.25">
      <c r="A2385" s="1">
        <v>46091</v>
      </c>
      <c r="B2385">
        <v>2</v>
      </c>
      <c r="C2385" t="s">
        <v>541</v>
      </c>
      <c r="D2385" t="s">
        <v>10</v>
      </c>
      <c r="E2385" t="s">
        <v>113</v>
      </c>
      <c r="F2385" t="s">
        <v>12</v>
      </c>
      <c r="G2385" t="s">
        <v>13</v>
      </c>
      <c r="I2385" s="42">
        <v>746.99</v>
      </c>
      <c r="J2385" s="42"/>
      <c r="K2385" s="42">
        <v>1.99</v>
      </c>
      <c r="L2385" s="42">
        <v>745</v>
      </c>
      <c r="N2385" s="42">
        <v>745</v>
      </c>
    </row>
    <row r="2386" spans="1:14" x14ac:dyDescent="0.25">
      <c r="A2386" s="1">
        <v>46091</v>
      </c>
      <c r="B2386">
        <v>2</v>
      </c>
      <c r="C2386" t="s">
        <v>541</v>
      </c>
      <c r="D2386" t="s">
        <v>10</v>
      </c>
      <c r="E2386" t="s">
        <v>118</v>
      </c>
      <c r="F2386" t="s">
        <v>119</v>
      </c>
      <c r="G2386" t="s">
        <v>13</v>
      </c>
      <c r="I2386" s="42">
        <v>851.99</v>
      </c>
      <c r="J2386" s="42">
        <v>30</v>
      </c>
      <c r="K2386" s="42"/>
      <c r="L2386" s="42">
        <v>881.99</v>
      </c>
      <c r="N2386" s="42">
        <v>881.99</v>
      </c>
    </row>
    <row r="2387" spans="1:14" x14ac:dyDescent="0.25">
      <c r="A2387" s="1">
        <v>46091</v>
      </c>
      <c r="B2387">
        <v>2</v>
      </c>
      <c r="C2387" t="s">
        <v>542</v>
      </c>
      <c r="D2387" t="s">
        <v>99</v>
      </c>
      <c r="E2387" t="s">
        <v>302</v>
      </c>
      <c r="F2387" t="s">
        <v>37</v>
      </c>
      <c r="G2387" t="s">
        <v>13</v>
      </c>
      <c r="I2387" s="42">
        <v>746.99</v>
      </c>
      <c r="J2387" s="42"/>
      <c r="K2387" s="42"/>
      <c r="L2387" s="42">
        <v>746.99</v>
      </c>
      <c r="N2387" s="42"/>
    </row>
    <row r="2388" spans="1:14" x14ac:dyDescent="0.25">
      <c r="A2388" s="1">
        <v>46091</v>
      </c>
      <c r="B2388">
        <v>2</v>
      </c>
      <c r="C2388" t="s">
        <v>541</v>
      </c>
      <c r="D2388" t="s">
        <v>10</v>
      </c>
      <c r="E2388" t="s">
        <v>126</v>
      </c>
      <c r="F2388" t="s">
        <v>55</v>
      </c>
      <c r="G2388" t="s">
        <v>56</v>
      </c>
      <c r="I2388" s="42">
        <v>746.99</v>
      </c>
      <c r="J2388" s="42"/>
      <c r="K2388" s="42">
        <v>1.99</v>
      </c>
      <c r="L2388" s="42">
        <v>745</v>
      </c>
      <c r="N2388" s="42">
        <v>745</v>
      </c>
    </row>
    <row r="2389" spans="1:14" x14ac:dyDescent="0.25">
      <c r="A2389" s="1">
        <v>46091</v>
      </c>
      <c r="B2389">
        <v>2</v>
      </c>
      <c r="C2389" t="s">
        <v>541</v>
      </c>
      <c r="D2389" t="s">
        <v>10</v>
      </c>
      <c r="E2389" t="s">
        <v>128</v>
      </c>
      <c r="F2389" t="s">
        <v>25</v>
      </c>
      <c r="G2389" t="s">
        <v>13</v>
      </c>
      <c r="I2389" s="42">
        <v>1351.99</v>
      </c>
      <c r="J2389" s="42"/>
      <c r="K2389" s="42"/>
      <c r="L2389" s="42">
        <v>1351.99</v>
      </c>
      <c r="N2389" s="42">
        <v>1351.99</v>
      </c>
    </row>
    <row r="2390" spans="1:14" x14ac:dyDescent="0.25">
      <c r="A2390" s="1">
        <v>46091</v>
      </c>
      <c r="B2390">
        <v>2</v>
      </c>
      <c r="C2390" t="s">
        <v>541</v>
      </c>
      <c r="D2390" t="s">
        <v>10</v>
      </c>
      <c r="E2390" t="s">
        <v>130</v>
      </c>
      <c r="F2390" t="s">
        <v>28</v>
      </c>
      <c r="G2390" t="s">
        <v>13</v>
      </c>
      <c r="I2390" s="42">
        <v>931.99</v>
      </c>
      <c r="J2390" s="42">
        <v>60</v>
      </c>
      <c r="K2390" s="42"/>
      <c r="L2390" s="42">
        <v>991.99</v>
      </c>
      <c r="N2390" s="42">
        <v>991.99</v>
      </c>
    </row>
    <row r="2391" spans="1:14" x14ac:dyDescent="0.25">
      <c r="A2391" s="1">
        <v>46091</v>
      </c>
      <c r="B2391">
        <v>2</v>
      </c>
      <c r="C2391" t="s">
        <v>541</v>
      </c>
      <c r="D2391" t="s">
        <v>10</v>
      </c>
      <c r="E2391" t="s">
        <v>132</v>
      </c>
      <c r="F2391" t="s">
        <v>76</v>
      </c>
      <c r="G2391" t="s">
        <v>77</v>
      </c>
      <c r="I2391" s="42">
        <v>1451.99</v>
      </c>
      <c r="J2391" s="42"/>
      <c r="K2391" s="42"/>
      <c r="L2391" s="42">
        <v>1451.99</v>
      </c>
      <c r="N2391" s="42">
        <v>1451.99</v>
      </c>
    </row>
    <row r="2392" spans="1:14" x14ac:dyDescent="0.25">
      <c r="A2392" s="1">
        <v>46091</v>
      </c>
      <c r="B2392">
        <v>2</v>
      </c>
      <c r="C2392" t="s">
        <v>541</v>
      </c>
      <c r="D2392" t="s">
        <v>10</v>
      </c>
      <c r="E2392" t="s">
        <v>137</v>
      </c>
      <c r="F2392" t="s">
        <v>12</v>
      </c>
      <c r="G2392" t="s">
        <v>13</v>
      </c>
      <c r="I2392" s="42">
        <v>746.99</v>
      </c>
      <c r="J2392" s="42"/>
      <c r="K2392" s="42"/>
      <c r="L2392" s="42">
        <v>1341.91</v>
      </c>
      <c r="N2392" s="42">
        <v>746.99</v>
      </c>
    </row>
    <row r="2393" spans="1:14" x14ac:dyDescent="0.25">
      <c r="A2393" s="1">
        <v>46091</v>
      </c>
      <c r="B2393">
        <v>2</v>
      </c>
      <c r="C2393" t="s">
        <v>541</v>
      </c>
      <c r="D2393" t="s">
        <v>10</v>
      </c>
      <c r="E2393" t="s">
        <v>326</v>
      </c>
      <c r="F2393" t="s">
        <v>52</v>
      </c>
      <c r="G2393" t="s">
        <v>13</v>
      </c>
      <c r="I2393" s="42">
        <v>1251.99</v>
      </c>
      <c r="J2393" s="42"/>
      <c r="K2393" s="42"/>
      <c r="L2393" s="42">
        <v>1251.99</v>
      </c>
      <c r="N2393" s="42">
        <v>300</v>
      </c>
    </row>
    <row r="2394" spans="1:14" x14ac:dyDescent="0.25">
      <c r="A2394" s="1">
        <v>46091</v>
      </c>
      <c r="B2394">
        <v>2</v>
      </c>
      <c r="C2394" t="s">
        <v>541</v>
      </c>
      <c r="D2394" t="s">
        <v>10</v>
      </c>
      <c r="E2394" t="s">
        <v>248</v>
      </c>
      <c r="F2394" t="s">
        <v>12</v>
      </c>
      <c r="G2394" t="s">
        <v>13</v>
      </c>
      <c r="I2394" s="42">
        <v>746.99</v>
      </c>
      <c r="J2394" s="42">
        <v>0.01</v>
      </c>
      <c r="K2394" s="42"/>
      <c r="L2394" s="42">
        <v>747</v>
      </c>
      <c r="N2394" s="42">
        <v>747</v>
      </c>
    </row>
    <row r="2395" spans="1:14" x14ac:dyDescent="0.25">
      <c r="A2395" s="1">
        <v>46091</v>
      </c>
      <c r="B2395">
        <v>2</v>
      </c>
      <c r="C2395" t="s">
        <v>541</v>
      </c>
      <c r="D2395" t="s">
        <v>10</v>
      </c>
      <c r="E2395" t="s">
        <v>198</v>
      </c>
      <c r="F2395" t="s">
        <v>199</v>
      </c>
      <c r="G2395" t="s">
        <v>38</v>
      </c>
      <c r="I2395" s="42">
        <v>746.99</v>
      </c>
      <c r="J2395" s="42">
        <v>0.01</v>
      </c>
      <c r="K2395" s="42"/>
      <c r="L2395" s="42">
        <v>747</v>
      </c>
      <c r="N2395" s="42">
        <v>747</v>
      </c>
    </row>
    <row r="2396" spans="1:14" x14ac:dyDescent="0.25">
      <c r="A2396" s="1">
        <v>46091</v>
      </c>
      <c r="B2396">
        <v>2</v>
      </c>
      <c r="C2396" t="s">
        <v>541</v>
      </c>
      <c r="D2396" t="s">
        <v>10</v>
      </c>
      <c r="E2396" t="s">
        <v>715</v>
      </c>
      <c r="F2396" t="s">
        <v>41</v>
      </c>
      <c r="G2396" t="s">
        <v>714</v>
      </c>
      <c r="I2396" s="42">
        <v>746.99</v>
      </c>
      <c r="J2396" s="42"/>
      <c r="K2396" s="42"/>
      <c r="L2396" s="42">
        <v>746.99</v>
      </c>
      <c r="M2396" s="37">
        <v>135.91</v>
      </c>
      <c r="N2396" s="42">
        <v>746.99</v>
      </c>
    </row>
    <row r="2397" spans="1:14" x14ac:dyDescent="0.25">
      <c r="A2397" s="1">
        <v>46091</v>
      </c>
      <c r="B2397">
        <v>2</v>
      </c>
      <c r="C2397" t="s">
        <v>541</v>
      </c>
      <c r="D2397" t="s">
        <v>10</v>
      </c>
      <c r="E2397" t="s">
        <v>34</v>
      </c>
      <c r="F2397" t="s">
        <v>33</v>
      </c>
      <c r="G2397" t="s">
        <v>13</v>
      </c>
      <c r="I2397" s="42">
        <v>851.99</v>
      </c>
      <c r="J2397" s="42"/>
      <c r="K2397" s="42"/>
      <c r="L2397" s="42">
        <v>851.99</v>
      </c>
      <c r="N2397" s="42">
        <v>851.99</v>
      </c>
    </row>
    <row r="2398" spans="1:14" x14ac:dyDescent="0.25">
      <c r="A2398" s="1">
        <v>46091</v>
      </c>
      <c r="B2398">
        <v>2</v>
      </c>
      <c r="C2398" t="s">
        <v>541</v>
      </c>
      <c r="D2398" t="s">
        <v>10</v>
      </c>
      <c r="E2398" t="s">
        <v>180</v>
      </c>
      <c r="F2398" t="s">
        <v>52</v>
      </c>
      <c r="G2398" t="s">
        <v>38</v>
      </c>
      <c r="I2398" s="42">
        <v>1251.99</v>
      </c>
      <c r="J2398" s="42"/>
      <c r="K2398" s="42"/>
      <c r="L2398" s="42">
        <v>1251.99</v>
      </c>
      <c r="N2398" s="42">
        <v>1251.99</v>
      </c>
    </row>
    <row r="2399" spans="1:14" x14ac:dyDescent="0.25">
      <c r="A2399" s="1">
        <v>46091</v>
      </c>
      <c r="B2399">
        <v>2</v>
      </c>
      <c r="C2399" t="s">
        <v>541</v>
      </c>
      <c r="D2399" t="s">
        <v>336</v>
      </c>
      <c r="E2399" t="s">
        <v>138</v>
      </c>
      <c r="F2399" t="s">
        <v>12</v>
      </c>
      <c r="G2399" t="s">
        <v>13</v>
      </c>
      <c r="I2399" s="42">
        <v>746.99</v>
      </c>
      <c r="J2399" s="42"/>
      <c r="K2399" s="42"/>
      <c r="L2399" s="42">
        <v>746.99</v>
      </c>
      <c r="N2399" s="42"/>
    </row>
    <row r="2400" spans="1:14" x14ac:dyDescent="0.25">
      <c r="A2400" s="1">
        <v>46091</v>
      </c>
      <c r="B2400">
        <v>2</v>
      </c>
      <c r="C2400" t="s">
        <v>541</v>
      </c>
      <c r="D2400" t="s">
        <v>10</v>
      </c>
      <c r="E2400" t="s">
        <v>140</v>
      </c>
      <c r="F2400" t="s">
        <v>28</v>
      </c>
      <c r="G2400" t="s">
        <v>13</v>
      </c>
      <c r="I2400" s="42">
        <v>931.99</v>
      </c>
      <c r="J2400" s="42"/>
      <c r="K2400" s="42"/>
      <c r="L2400" s="42">
        <v>931.99</v>
      </c>
      <c r="N2400" s="42">
        <v>931.99</v>
      </c>
    </row>
    <row r="2401" spans="1:14" x14ac:dyDescent="0.25">
      <c r="A2401" s="1">
        <v>46091</v>
      </c>
      <c r="B2401">
        <v>2</v>
      </c>
      <c r="C2401" t="s">
        <v>541</v>
      </c>
      <c r="D2401" t="s">
        <v>10</v>
      </c>
      <c r="E2401" t="s">
        <v>142</v>
      </c>
      <c r="F2401" t="s">
        <v>55</v>
      </c>
      <c r="G2401" t="s">
        <v>95</v>
      </c>
      <c r="I2401" s="42">
        <v>746.99</v>
      </c>
      <c r="J2401" s="42"/>
      <c r="K2401" s="42"/>
      <c r="L2401" s="42">
        <v>746.99</v>
      </c>
      <c r="N2401" s="42">
        <v>746.99</v>
      </c>
    </row>
    <row r="2402" spans="1:14" x14ac:dyDescent="0.25">
      <c r="A2402" s="1">
        <v>46091</v>
      </c>
      <c r="B2402">
        <v>2</v>
      </c>
      <c r="C2402" t="s">
        <v>541</v>
      </c>
      <c r="D2402" t="s">
        <v>10</v>
      </c>
      <c r="E2402" t="s">
        <v>144</v>
      </c>
      <c r="F2402" t="s">
        <v>145</v>
      </c>
      <c r="G2402" t="s">
        <v>66</v>
      </c>
      <c r="I2402" s="42">
        <v>1351.99</v>
      </c>
      <c r="J2402" s="42"/>
      <c r="K2402" s="42"/>
      <c r="L2402" s="42">
        <v>1351.99</v>
      </c>
      <c r="N2402" s="42">
        <v>1351.99</v>
      </c>
    </row>
    <row r="2403" spans="1:14" x14ac:dyDescent="0.25">
      <c r="A2403" s="1">
        <v>46091</v>
      </c>
      <c r="B2403">
        <v>2</v>
      </c>
      <c r="C2403" t="s">
        <v>541</v>
      </c>
      <c r="D2403" t="s">
        <v>10</v>
      </c>
      <c r="E2403" t="s">
        <v>147</v>
      </c>
      <c r="F2403" t="s">
        <v>33</v>
      </c>
      <c r="G2403" t="s">
        <v>13</v>
      </c>
      <c r="I2403" s="42">
        <v>851.99</v>
      </c>
      <c r="J2403" s="42"/>
      <c r="K2403" s="42">
        <v>121.71</v>
      </c>
      <c r="L2403" s="42">
        <v>730.28</v>
      </c>
      <c r="N2403" s="42">
        <v>730.28</v>
      </c>
    </row>
    <row r="2404" spans="1:14" x14ac:dyDescent="0.25">
      <c r="A2404" s="1">
        <v>46091</v>
      </c>
      <c r="B2404">
        <v>2</v>
      </c>
      <c r="C2404" t="s">
        <v>541</v>
      </c>
      <c r="D2404" t="s">
        <v>10</v>
      </c>
      <c r="E2404" t="s">
        <v>149</v>
      </c>
      <c r="F2404" t="s">
        <v>33</v>
      </c>
      <c r="G2404" t="s">
        <v>13</v>
      </c>
      <c r="I2404" s="42">
        <v>851.99</v>
      </c>
      <c r="J2404" s="42">
        <v>58.01</v>
      </c>
      <c r="K2404" s="42"/>
      <c r="L2404" s="42">
        <v>910</v>
      </c>
      <c r="N2404" s="42">
        <v>910</v>
      </c>
    </row>
    <row r="2405" spans="1:14" x14ac:dyDescent="0.25">
      <c r="A2405" s="1">
        <v>46091</v>
      </c>
      <c r="B2405">
        <v>2</v>
      </c>
      <c r="C2405" t="s">
        <v>541</v>
      </c>
      <c r="D2405" t="s">
        <v>10</v>
      </c>
      <c r="E2405" t="s">
        <v>97</v>
      </c>
      <c r="F2405" t="s">
        <v>33</v>
      </c>
      <c r="G2405" t="s">
        <v>13</v>
      </c>
      <c r="I2405" s="42">
        <v>851.99</v>
      </c>
      <c r="J2405" s="42"/>
      <c r="K2405" s="42"/>
      <c r="L2405" s="42">
        <v>851.99</v>
      </c>
      <c r="N2405" s="42">
        <v>851.99</v>
      </c>
    </row>
    <row r="2406" spans="1:14" x14ac:dyDescent="0.25">
      <c r="A2406" s="1">
        <v>46091</v>
      </c>
      <c r="B2406">
        <v>2</v>
      </c>
      <c r="C2406" t="s">
        <v>541</v>
      </c>
      <c r="D2406" t="s">
        <v>10</v>
      </c>
      <c r="E2406" t="s">
        <v>151</v>
      </c>
      <c r="F2406" t="s">
        <v>33</v>
      </c>
      <c r="G2406" t="s">
        <v>38</v>
      </c>
      <c r="I2406" s="42">
        <v>851.99</v>
      </c>
      <c r="J2406" s="42"/>
      <c r="K2406" s="42"/>
      <c r="L2406" s="42">
        <v>851.99</v>
      </c>
      <c r="N2406" s="42">
        <v>851.99</v>
      </c>
    </row>
    <row r="2407" spans="1:14" x14ac:dyDescent="0.25">
      <c r="A2407" s="1">
        <v>46091</v>
      </c>
      <c r="B2407">
        <v>2</v>
      </c>
      <c r="C2407" t="s">
        <v>541</v>
      </c>
      <c r="D2407" t="s">
        <v>10</v>
      </c>
      <c r="E2407" t="s">
        <v>153</v>
      </c>
      <c r="F2407" t="s">
        <v>12</v>
      </c>
      <c r="G2407" t="s">
        <v>13</v>
      </c>
      <c r="I2407" s="42">
        <v>746.99</v>
      </c>
      <c r="J2407" s="42">
        <v>30</v>
      </c>
      <c r="K2407" s="42"/>
      <c r="L2407" s="42">
        <v>776.99</v>
      </c>
      <c r="N2407" s="42">
        <v>776.99</v>
      </c>
    </row>
    <row r="2408" spans="1:14" x14ac:dyDescent="0.25">
      <c r="A2408" s="1">
        <v>46091</v>
      </c>
      <c r="B2408">
        <v>2</v>
      </c>
      <c r="C2408" t="s">
        <v>541</v>
      </c>
      <c r="D2408" t="s">
        <v>10</v>
      </c>
      <c r="E2408" t="s">
        <v>155</v>
      </c>
      <c r="F2408" t="s">
        <v>33</v>
      </c>
      <c r="G2408" t="s">
        <v>38</v>
      </c>
      <c r="I2408" s="42">
        <v>851.99</v>
      </c>
      <c r="J2408" s="42">
        <v>60</v>
      </c>
      <c r="K2408" s="42"/>
      <c r="L2408" s="42">
        <v>911.99</v>
      </c>
      <c r="N2408" s="42">
        <v>911.99</v>
      </c>
    </row>
    <row r="2409" spans="1:14" x14ac:dyDescent="0.25">
      <c r="A2409" s="1">
        <v>46091</v>
      </c>
      <c r="B2409">
        <v>2</v>
      </c>
      <c r="C2409" t="s">
        <v>541</v>
      </c>
      <c r="D2409" t="s">
        <v>10</v>
      </c>
      <c r="E2409" t="s">
        <v>106</v>
      </c>
      <c r="F2409" t="s">
        <v>12</v>
      </c>
      <c r="G2409" t="s">
        <v>13</v>
      </c>
      <c r="I2409" s="42">
        <v>746.99</v>
      </c>
      <c r="J2409" s="42"/>
      <c r="K2409" s="42">
        <v>319.29000000000002</v>
      </c>
      <c r="L2409" s="42">
        <v>427.7</v>
      </c>
      <c r="N2409" s="42">
        <v>427.7</v>
      </c>
    </row>
    <row r="2410" spans="1:14" x14ac:dyDescent="0.25">
      <c r="A2410" s="1">
        <v>46091</v>
      </c>
      <c r="B2410">
        <v>2</v>
      </c>
      <c r="C2410" t="s">
        <v>541</v>
      </c>
      <c r="D2410" t="s">
        <v>10</v>
      </c>
      <c r="E2410" t="s">
        <v>244</v>
      </c>
      <c r="F2410" t="s">
        <v>245</v>
      </c>
      <c r="G2410" t="s">
        <v>13</v>
      </c>
      <c r="I2410" s="42">
        <v>746.99</v>
      </c>
      <c r="J2410" s="42"/>
      <c r="K2410" s="42"/>
      <c r="L2410" s="42">
        <v>746.99</v>
      </c>
      <c r="N2410" s="42">
        <v>746.99</v>
      </c>
    </row>
    <row r="2411" spans="1:14" x14ac:dyDescent="0.25">
      <c r="A2411" s="1">
        <v>46091</v>
      </c>
      <c r="B2411">
        <v>2</v>
      </c>
      <c r="C2411" t="s">
        <v>541</v>
      </c>
      <c r="D2411" t="s">
        <v>10</v>
      </c>
      <c r="E2411" t="s">
        <v>166</v>
      </c>
      <c r="F2411" t="s">
        <v>12</v>
      </c>
      <c r="G2411" t="s">
        <v>13</v>
      </c>
      <c r="I2411" s="42">
        <v>746.99</v>
      </c>
      <c r="J2411" s="42"/>
      <c r="K2411" s="42">
        <v>1.99</v>
      </c>
      <c r="L2411" s="42">
        <v>745</v>
      </c>
      <c r="N2411" s="42">
        <v>745</v>
      </c>
    </row>
    <row r="2412" spans="1:14" x14ac:dyDescent="0.25">
      <c r="A2412" s="1">
        <v>46091</v>
      </c>
      <c r="B2412">
        <v>2</v>
      </c>
      <c r="C2412" t="s">
        <v>541</v>
      </c>
      <c r="D2412" t="s">
        <v>10</v>
      </c>
      <c r="E2412" t="s">
        <v>177</v>
      </c>
      <c r="F2412" t="s">
        <v>178</v>
      </c>
      <c r="G2412" t="s">
        <v>13</v>
      </c>
      <c r="I2412" s="42">
        <v>851.99</v>
      </c>
      <c r="J2412" s="42">
        <v>0.01</v>
      </c>
      <c r="K2412" s="42"/>
      <c r="L2412" s="42">
        <v>852</v>
      </c>
      <c r="N2412" s="42">
        <v>852</v>
      </c>
    </row>
    <row r="2413" spans="1:14" x14ac:dyDescent="0.25">
      <c r="A2413" s="1">
        <v>46091</v>
      </c>
      <c r="B2413">
        <v>2</v>
      </c>
      <c r="C2413" t="s">
        <v>541</v>
      </c>
      <c r="D2413" t="s">
        <v>10</v>
      </c>
      <c r="E2413" t="s">
        <v>182</v>
      </c>
      <c r="F2413" t="s">
        <v>25</v>
      </c>
      <c r="G2413" t="s">
        <v>183</v>
      </c>
      <c r="I2413" s="42">
        <v>1251.99</v>
      </c>
      <c r="J2413" s="42"/>
      <c r="K2413" s="42">
        <v>1.99</v>
      </c>
      <c r="L2413" s="42">
        <v>1250</v>
      </c>
      <c r="N2413" s="42">
        <v>1250</v>
      </c>
    </row>
    <row r="2414" spans="1:14" x14ac:dyDescent="0.25">
      <c r="A2414" s="1">
        <v>46091</v>
      </c>
      <c r="B2414">
        <v>2</v>
      </c>
      <c r="C2414" t="s">
        <v>541</v>
      </c>
      <c r="D2414" t="s">
        <v>10</v>
      </c>
      <c r="E2414" t="s">
        <v>707</v>
      </c>
      <c r="F2414" t="s">
        <v>73</v>
      </c>
      <c r="G2414" t="s">
        <v>13</v>
      </c>
      <c r="I2414" s="42">
        <v>2001.99</v>
      </c>
      <c r="J2414" s="42"/>
      <c r="K2414" s="42"/>
      <c r="L2414" s="42">
        <v>2001.99</v>
      </c>
      <c r="N2414" s="42">
        <v>2001.99</v>
      </c>
    </row>
    <row r="2415" spans="1:14" x14ac:dyDescent="0.25">
      <c r="A2415" s="1">
        <v>46091</v>
      </c>
      <c r="B2415">
        <v>2</v>
      </c>
      <c r="C2415" t="s">
        <v>541</v>
      </c>
      <c r="D2415" t="s">
        <v>10</v>
      </c>
      <c r="E2415" t="s">
        <v>328</v>
      </c>
      <c r="F2415" t="s">
        <v>55</v>
      </c>
      <c r="G2415" t="s">
        <v>13</v>
      </c>
      <c r="I2415" s="42">
        <v>746.99</v>
      </c>
      <c r="J2415" s="42"/>
      <c r="K2415" s="42">
        <v>213.42</v>
      </c>
      <c r="L2415" s="42">
        <v>533.57000000000005</v>
      </c>
      <c r="N2415" s="42">
        <v>533.57000000000005</v>
      </c>
    </row>
    <row r="2416" spans="1:14" x14ac:dyDescent="0.25">
      <c r="A2416" s="1">
        <v>46091</v>
      </c>
      <c r="B2416">
        <v>2</v>
      </c>
      <c r="C2416" t="s">
        <v>541</v>
      </c>
      <c r="D2416" t="s">
        <v>10</v>
      </c>
      <c r="E2416" t="s">
        <v>312</v>
      </c>
      <c r="F2416" t="s">
        <v>158</v>
      </c>
      <c r="G2416" t="s">
        <v>104</v>
      </c>
      <c r="I2416" s="42">
        <v>746.99</v>
      </c>
      <c r="J2416" s="42"/>
      <c r="K2416" s="42"/>
      <c r="L2416" s="42">
        <v>746.99</v>
      </c>
      <c r="N2416" s="42">
        <v>746.99</v>
      </c>
    </row>
    <row r="2417" spans="1:14" x14ac:dyDescent="0.25">
      <c r="A2417" s="1">
        <v>46091</v>
      </c>
      <c r="B2417">
        <v>2</v>
      </c>
      <c r="C2417" t="s">
        <v>541</v>
      </c>
      <c r="D2417" t="s">
        <v>10</v>
      </c>
      <c r="E2417" t="s">
        <v>257</v>
      </c>
      <c r="F2417" t="s">
        <v>158</v>
      </c>
      <c r="G2417" t="s">
        <v>111</v>
      </c>
      <c r="I2417" s="42">
        <v>746.99</v>
      </c>
      <c r="J2417" s="42">
        <v>35.01</v>
      </c>
      <c r="K2417" s="42"/>
      <c r="L2417" s="42">
        <v>782</v>
      </c>
      <c r="N2417" s="42">
        <v>782</v>
      </c>
    </row>
    <row r="2418" spans="1:14" x14ac:dyDescent="0.25">
      <c r="A2418" s="1">
        <v>46091</v>
      </c>
      <c r="B2418">
        <v>2</v>
      </c>
      <c r="C2418" t="s">
        <v>541</v>
      </c>
      <c r="D2418" t="s">
        <v>10</v>
      </c>
      <c r="E2418" t="s">
        <v>335</v>
      </c>
      <c r="F2418" t="s">
        <v>158</v>
      </c>
      <c r="G2418" t="s">
        <v>104</v>
      </c>
      <c r="I2418" s="42">
        <v>746.99</v>
      </c>
      <c r="J2418" s="42">
        <v>0.01</v>
      </c>
      <c r="K2418" s="42"/>
      <c r="L2418" s="42">
        <v>747</v>
      </c>
      <c r="N2418" s="42">
        <v>747</v>
      </c>
    </row>
    <row r="2419" spans="1:14" x14ac:dyDescent="0.25">
      <c r="A2419" s="1">
        <v>46091</v>
      </c>
      <c r="B2419">
        <v>2</v>
      </c>
      <c r="C2419" t="s">
        <v>541</v>
      </c>
      <c r="D2419" t="s">
        <v>10</v>
      </c>
      <c r="E2419" t="s">
        <v>296</v>
      </c>
      <c r="F2419" t="s">
        <v>37</v>
      </c>
      <c r="G2419" t="s">
        <v>38</v>
      </c>
      <c r="I2419" s="42">
        <v>746.99</v>
      </c>
      <c r="J2419" s="42">
        <v>3.01</v>
      </c>
      <c r="K2419" s="42"/>
      <c r="L2419" s="42">
        <v>750</v>
      </c>
      <c r="N2419" s="42">
        <v>750</v>
      </c>
    </row>
    <row r="2420" spans="1:14" x14ac:dyDescent="0.25">
      <c r="A2420" s="1">
        <v>46091</v>
      </c>
      <c r="B2420">
        <v>2</v>
      </c>
      <c r="C2420" t="s">
        <v>541</v>
      </c>
      <c r="D2420" t="s">
        <v>10</v>
      </c>
      <c r="E2420" t="s">
        <v>134</v>
      </c>
      <c r="F2420" t="s">
        <v>69</v>
      </c>
      <c r="G2420" t="s">
        <v>38</v>
      </c>
      <c r="I2420" s="42">
        <v>746.99</v>
      </c>
      <c r="J2420" s="42"/>
      <c r="K2420" s="42"/>
      <c r="L2420" s="42">
        <v>746.99</v>
      </c>
      <c r="N2420" s="42">
        <v>746.99</v>
      </c>
    </row>
    <row r="2421" spans="1:14" x14ac:dyDescent="0.25">
      <c r="A2421" s="1">
        <v>46091</v>
      </c>
      <c r="B2421">
        <v>2</v>
      </c>
      <c r="C2421" t="s">
        <v>541</v>
      </c>
      <c r="D2421" t="s">
        <v>10</v>
      </c>
      <c r="E2421" t="s">
        <v>160</v>
      </c>
      <c r="F2421" t="s">
        <v>158</v>
      </c>
      <c r="G2421" t="s">
        <v>22</v>
      </c>
      <c r="I2421" s="42">
        <v>746.99</v>
      </c>
      <c r="J2421" s="42"/>
      <c r="K2421" s="42"/>
      <c r="L2421" s="42">
        <v>746.99</v>
      </c>
      <c r="N2421" s="42">
        <v>746.99</v>
      </c>
    </row>
    <row r="2422" spans="1:14" x14ac:dyDescent="0.25">
      <c r="A2422" s="1">
        <v>46091</v>
      </c>
      <c r="B2422">
        <v>2</v>
      </c>
      <c r="C2422" t="s">
        <v>541</v>
      </c>
      <c r="D2422" t="s">
        <v>10</v>
      </c>
      <c r="E2422" t="s">
        <v>247</v>
      </c>
      <c r="F2422" t="s">
        <v>12</v>
      </c>
      <c r="G2422" t="s">
        <v>104</v>
      </c>
      <c r="I2422" s="42">
        <v>746.99</v>
      </c>
      <c r="J2422" s="42">
        <v>45</v>
      </c>
      <c r="K2422" s="42">
        <v>365.14</v>
      </c>
      <c r="L2422" s="42">
        <v>426.85</v>
      </c>
      <c r="N2422" s="42">
        <v>380</v>
      </c>
    </row>
    <row r="2423" spans="1:14" x14ac:dyDescent="0.25">
      <c r="A2423" s="1">
        <v>46091</v>
      </c>
      <c r="B2423">
        <v>2</v>
      </c>
      <c r="C2423" t="s">
        <v>541</v>
      </c>
      <c r="D2423" t="s">
        <v>10</v>
      </c>
      <c r="E2423" t="s">
        <v>30</v>
      </c>
      <c r="F2423" t="s">
        <v>28</v>
      </c>
      <c r="G2423" t="s">
        <v>13</v>
      </c>
      <c r="I2423" s="42">
        <v>931.99</v>
      </c>
      <c r="J2423" s="42"/>
      <c r="K2423" s="42"/>
      <c r="L2423" s="42">
        <v>931.99</v>
      </c>
      <c r="N2423" s="42">
        <v>931.99</v>
      </c>
    </row>
    <row r="2424" spans="1:14" x14ac:dyDescent="0.25">
      <c r="A2424" s="1">
        <v>46091</v>
      </c>
      <c r="B2424">
        <v>2</v>
      </c>
      <c r="C2424" t="s">
        <v>541</v>
      </c>
      <c r="D2424" t="s">
        <v>10</v>
      </c>
      <c r="E2424" t="s">
        <v>307</v>
      </c>
      <c r="F2424" t="s">
        <v>214</v>
      </c>
      <c r="G2424" t="s">
        <v>66</v>
      </c>
      <c r="I2424" s="42">
        <v>851.99</v>
      </c>
      <c r="J2424" s="42">
        <v>30.01</v>
      </c>
      <c r="K2424" s="42"/>
      <c r="L2424" s="42">
        <v>882</v>
      </c>
      <c r="N2424" s="42">
        <v>882</v>
      </c>
    </row>
    <row r="2425" spans="1:14" x14ac:dyDescent="0.25">
      <c r="A2425" s="1">
        <v>46091</v>
      </c>
      <c r="B2425">
        <v>2</v>
      </c>
      <c r="C2425" t="s">
        <v>541</v>
      </c>
      <c r="D2425" t="s">
        <v>10</v>
      </c>
      <c r="E2425" t="s">
        <v>333</v>
      </c>
      <c r="F2425" t="s">
        <v>158</v>
      </c>
      <c r="G2425" t="s">
        <v>22</v>
      </c>
      <c r="I2425" s="42">
        <v>746.99</v>
      </c>
      <c r="J2425" s="42"/>
      <c r="K2425" s="42">
        <v>0.99</v>
      </c>
      <c r="L2425" s="42">
        <v>746</v>
      </c>
      <c r="N2425" s="42">
        <v>746</v>
      </c>
    </row>
    <row r="2426" spans="1:14" x14ac:dyDescent="0.25">
      <c r="A2426" s="1">
        <v>46091</v>
      </c>
      <c r="B2426">
        <v>2</v>
      </c>
      <c r="C2426" t="s">
        <v>541</v>
      </c>
      <c r="D2426" t="s">
        <v>10</v>
      </c>
      <c r="E2426" t="s">
        <v>250</v>
      </c>
      <c r="F2426" t="s">
        <v>12</v>
      </c>
      <c r="G2426" t="s">
        <v>13</v>
      </c>
      <c r="I2426" s="42">
        <v>746.99</v>
      </c>
      <c r="J2426" s="42"/>
      <c r="K2426" s="42"/>
      <c r="L2426" s="42">
        <v>746.99</v>
      </c>
      <c r="N2426" s="42">
        <v>746.99</v>
      </c>
    </row>
    <row r="2427" spans="1:14" x14ac:dyDescent="0.25">
      <c r="A2427" s="1">
        <v>46091</v>
      </c>
      <c r="B2427">
        <v>2</v>
      </c>
      <c r="C2427" t="s">
        <v>541</v>
      </c>
      <c r="D2427" t="s">
        <v>10</v>
      </c>
      <c r="E2427" t="s">
        <v>331</v>
      </c>
      <c r="F2427" t="s">
        <v>12</v>
      </c>
      <c r="G2427" t="s">
        <v>13</v>
      </c>
      <c r="I2427" s="42">
        <v>746.99</v>
      </c>
      <c r="J2427" s="42"/>
      <c r="K2427" s="42"/>
      <c r="L2427" s="42">
        <v>746.99</v>
      </c>
      <c r="N2427" s="42">
        <v>746.99</v>
      </c>
    </row>
    <row r="2428" spans="1:14" x14ac:dyDescent="0.25">
      <c r="A2428" s="1">
        <v>46091</v>
      </c>
      <c r="B2428">
        <v>2</v>
      </c>
      <c r="C2428" t="s">
        <v>541</v>
      </c>
      <c r="D2428" t="s">
        <v>10</v>
      </c>
      <c r="E2428" t="s">
        <v>121</v>
      </c>
      <c r="F2428" t="s">
        <v>52</v>
      </c>
      <c r="G2428" t="s">
        <v>122</v>
      </c>
      <c r="I2428" s="42">
        <v>1251.99</v>
      </c>
      <c r="J2428" s="42"/>
      <c r="K2428" s="42">
        <v>1.99</v>
      </c>
      <c r="L2428" s="42">
        <v>1250</v>
      </c>
      <c r="N2428" s="42">
        <v>1250</v>
      </c>
    </row>
    <row r="2429" spans="1:14" x14ac:dyDescent="0.25">
      <c r="A2429" s="1">
        <v>46091</v>
      </c>
      <c r="B2429">
        <v>2</v>
      </c>
      <c r="C2429" t="s">
        <v>541</v>
      </c>
      <c r="D2429" t="s">
        <v>10</v>
      </c>
      <c r="E2429" t="s">
        <v>185</v>
      </c>
      <c r="F2429" t="s">
        <v>12</v>
      </c>
      <c r="G2429" t="s">
        <v>13</v>
      </c>
      <c r="I2429" s="42">
        <v>746.99</v>
      </c>
      <c r="J2429" s="42"/>
      <c r="K2429" s="42">
        <v>0.99</v>
      </c>
      <c r="L2429" s="42">
        <v>746</v>
      </c>
      <c r="N2429" s="42">
        <v>746</v>
      </c>
    </row>
    <row r="2430" spans="1:14" x14ac:dyDescent="0.25">
      <c r="A2430" s="1">
        <v>46091</v>
      </c>
      <c r="B2430">
        <v>2</v>
      </c>
      <c r="C2430" t="s">
        <v>541</v>
      </c>
      <c r="D2430" t="s">
        <v>10</v>
      </c>
      <c r="E2430" t="s">
        <v>187</v>
      </c>
      <c r="F2430" t="s">
        <v>12</v>
      </c>
      <c r="G2430" t="s">
        <v>13</v>
      </c>
      <c r="I2430" s="42">
        <v>746.99</v>
      </c>
      <c r="J2430" s="42">
        <v>120</v>
      </c>
      <c r="K2430" s="42"/>
      <c r="L2430" s="42">
        <v>866.99</v>
      </c>
      <c r="N2430" s="42">
        <v>866.99</v>
      </c>
    </row>
    <row r="2431" spans="1:14" x14ac:dyDescent="0.25">
      <c r="A2431" s="1">
        <v>46091</v>
      </c>
      <c r="B2431">
        <v>2</v>
      </c>
      <c r="C2431" t="s">
        <v>541</v>
      </c>
      <c r="D2431" t="s">
        <v>10</v>
      </c>
      <c r="E2431" t="s">
        <v>308</v>
      </c>
      <c r="F2431" t="s">
        <v>28</v>
      </c>
      <c r="G2431" t="s">
        <v>13</v>
      </c>
      <c r="I2431" s="42">
        <v>931.99</v>
      </c>
      <c r="J2431" s="42">
        <v>30</v>
      </c>
      <c r="K2431" s="42"/>
      <c r="L2431" s="42">
        <v>961.99</v>
      </c>
      <c r="N2431" s="42">
        <v>961.99</v>
      </c>
    </row>
    <row r="2432" spans="1:14" x14ac:dyDescent="0.25">
      <c r="A2432" s="1">
        <v>46091</v>
      </c>
      <c r="B2432">
        <v>2</v>
      </c>
      <c r="C2432" t="s">
        <v>541</v>
      </c>
      <c r="D2432" t="s">
        <v>10</v>
      </c>
      <c r="E2432" t="s">
        <v>189</v>
      </c>
      <c r="F2432" t="s">
        <v>12</v>
      </c>
      <c r="G2432" t="s">
        <v>13</v>
      </c>
      <c r="I2432" s="42">
        <v>746.99</v>
      </c>
      <c r="J2432" s="42"/>
      <c r="K2432" s="42">
        <v>319.99</v>
      </c>
      <c r="L2432" s="42">
        <v>427</v>
      </c>
      <c r="N2432" s="42">
        <v>427</v>
      </c>
    </row>
    <row r="2433" spans="1:14" x14ac:dyDescent="0.25">
      <c r="A2433" s="1">
        <v>46091</v>
      </c>
      <c r="B2433">
        <v>2</v>
      </c>
      <c r="C2433" t="s">
        <v>541</v>
      </c>
      <c r="D2433" t="s">
        <v>10</v>
      </c>
      <c r="E2433" t="s">
        <v>191</v>
      </c>
      <c r="F2433" t="s">
        <v>55</v>
      </c>
      <c r="G2433" t="s">
        <v>13</v>
      </c>
      <c r="I2433" s="42">
        <v>746.99</v>
      </c>
      <c r="J2433" s="42">
        <v>150</v>
      </c>
      <c r="K2433" s="42"/>
      <c r="L2433" s="42">
        <v>896.99</v>
      </c>
      <c r="N2433" s="42">
        <v>766</v>
      </c>
    </row>
    <row r="2434" spans="1:14" x14ac:dyDescent="0.25">
      <c r="A2434" s="1">
        <v>46091</v>
      </c>
      <c r="B2434">
        <v>2</v>
      </c>
      <c r="C2434" t="s">
        <v>541</v>
      </c>
      <c r="D2434" t="s">
        <v>10</v>
      </c>
      <c r="E2434" t="s">
        <v>193</v>
      </c>
      <c r="F2434" t="s">
        <v>12</v>
      </c>
      <c r="G2434" t="s">
        <v>13</v>
      </c>
      <c r="I2434" s="42">
        <v>746.99</v>
      </c>
      <c r="J2434" s="42"/>
      <c r="K2434" s="42">
        <v>1.99</v>
      </c>
      <c r="L2434" s="42">
        <v>745</v>
      </c>
      <c r="N2434" s="42">
        <v>745</v>
      </c>
    </row>
    <row r="2435" spans="1:14" x14ac:dyDescent="0.25">
      <c r="A2435" s="1">
        <v>46091</v>
      </c>
      <c r="B2435">
        <v>2</v>
      </c>
      <c r="C2435" t="s">
        <v>541</v>
      </c>
      <c r="D2435" t="s">
        <v>10</v>
      </c>
      <c r="E2435" t="s">
        <v>195</v>
      </c>
      <c r="F2435" t="s">
        <v>196</v>
      </c>
      <c r="G2435" t="s">
        <v>22</v>
      </c>
      <c r="I2435" s="42">
        <v>681.99</v>
      </c>
      <c r="J2435" s="42"/>
      <c r="K2435" s="42">
        <v>193.99</v>
      </c>
      <c r="L2435" s="42">
        <v>488</v>
      </c>
      <c r="N2435" s="42">
        <v>488</v>
      </c>
    </row>
    <row r="2436" spans="1:14" x14ac:dyDescent="0.25">
      <c r="A2436" s="1">
        <v>46091</v>
      </c>
      <c r="B2436">
        <v>2</v>
      </c>
      <c r="C2436" t="s">
        <v>541</v>
      </c>
      <c r="D2436" t="s">
        <v>10</v>
      </c>
      <c r="E2436" t="s">
        <v>201</v>
      </c>
      <c r="F2436" t="s">
        <v>202</v>
      </c>
      <c r="G2436" t="s">
        <v>56</v>
      </c>
      <c r="I2436" s="42">
        <v>831.99</v>
      </c>
      <c r="J2436" s="42">
        <v>30</v>
      </c>
      <c r="K2436" s="42"/>
      <c r="L2436" s="42">
        <v>861.99</v>
      </c>
      <c r="N2436" s="42">
        <v>861.99</v>
      </c>
    </row>
    <row r="2437" spans="1:14" x14ac:dyDescent="0.25">
      <c r="A2437" s="1">
        <v>46091</v>
      </c>
      <c r="B2437">
        <v>2</v>
      </c>
      <c r="C2437" t="s">
        <v>541</v>
      </c>
      <c r="D2437" t="s">
        <v>10</v>
      </c>
      <c r="E2437" t="s">
        <v>207</v>
      </c>
      <c r="F2437" t="s">
        <v>33</v>
      </c>
      <c r="G2437" t="s">
        <v>13</v>
      </c>
      <c r="I2437" s="42">
        <v>851.99</v>
      </c>
      <c r="J2437" s="42"/>
      <c r="K2437" s="42"/>
      <c r="L2437" s="42">
        <v>851.99</v>
      </c>
      <c r="N2437" s="42">
        <v>851.99</v>
      </c>
    </row>
    <row r="2438" spans="1:14" x14ac:dyDescent="0.25">
      <c r="A2438" s="1">
        <v>46091</v>
      </c>
      <c r="B2438">
        <v>2</v>
      </c>
      <c r="C2438" t="s">
        <v>541</v>
      </c>
      <c r="D2438" t="s">
        <v>10</v>
      </c>
      <c r="E2438" t="s">
        <v>210</v>
      </c>
      <c r="F2438" t="s">
        <v>211</v>
      </c>
      <c r="G2438" t="s">
        <v>13</v>
      </c>
      <c r="I2438" s="42">
        <v>851.99</v>
      </c>
      <c r="J2438" s="42">
        <v>29.01</v>
      </c>
      <c r="K2438" s="42"/>
      <c r="L2438" s="42">
        <v>881</v>
      </c>
      <c r="N2438" s="42">
        <v>881</v>
      </c>
    </row>
    <row r="2439" spans="1:14" x14ac:dyDescent="0.25">
      <c r="A2439" s="1">
        <v>46091</v>
      </c>
      <c r="B2439">
        <v>2</v>
      </c>
      <c r="C2439" t="s">
        <v>541</v>
      </c>
      <c r="D2439" t="s">
        <v>10</v>
      </c>
      <c r="E2439" t="s">
        <v>213</v>
      </c>
      <c r="F2439" t="s">
        <v>214</v>
      </c>
      <c r="G2439" t="s">
        <v>13</v>
      </c>
      <c r="I2439" s="42">
        <v>851.99</v>
      </c>
      <c r="J2439" s="42"/>
      <c r="K2439" s="42"/>
      <c r="L2439" s="42">
        <v>851.99</v>
      </c>
      <c r="N2439" s="42">
        <v>851.99</v>
      </c>
    </row>
    <row r="2440" spans="1:14" x14ac:dyDescent="0.25">
      <c r="A2440" s="1">
        <v>46091</v>
      </c>
      <c r="B2440">
        <v>2</v>
      </c>
      <c r="C2440" t="s">
        <v>541</v>
      </c>
      <c r="D2440" t="s">
        <v>10</v>
      </c>
      <c r="E2440" t="s">
        <v>291</v>
      </c>
      <c r="F2440" t="s">
        <v>41</v>
      </c>
      <c r="G2440" t="s">
        <v>13</v>
      </c>
      <c r="I2440" s="42">
        <v>746.99</v>
      </c>
      <c r="J2440" s="42"/>
      <c r="K2440" s="42"/>
      <c r="L2440" s="42">
        <v>746.99</v>
      </c>
      <c r="N2440" s="42">
        <v>746.99</v>
      </c>
    </row>
    <row r="2441" spans="1:14" x14ac:dyDescent="0.25">
      <c r="A2441" s="1">
        <v>46091</v>
      </c>
      <c r="B2441">
        <v>2</v>
      </c>
      <c r="C2441" t="s">
        <v>541</v>
      </c>
      <c r="D2441" t="s">
        <v>10</v>
      </c>
      <c r="E2441" t="s">
        <v>216</v>
      </c>
      <c r="F2441" t="s">
        <v>217</v>
      </c>
      <c r="G2441" t="s">
        <v>13</v>
      </c>
      <c r="I2441" s="42">
        <v>746.99</v>
      </c>
      <c r="J2441" s="42">
        <v>30</v>
      </c>
      <c r="K2441" s="42"/>
      <c r="L2441" s="42">
        <v>776.99</v>
      </c>
      <c r="N2441" s="42">
        <v>776.99</v>
      </c>
    </row>
    <row r="2442" spans="1:14" x14ac:dyDescent="0.25">
      <c r="A2442" s="1">
        <v>46091</v>
      </c>
      <c r="B2442">
        <v>2</v>
      </c>
      <c r="C2442" t="s">
        <v>541</v>
      </c>
      <c r="D2442" t="s">
        <v>10</v>
      </c>
      <c r="E2442" t="s">
        <v>223</v>
      </c>
      <c r="F2442" t="s">
        <v>41</v>
      </c>
      <c r="G2442" t="s">
        <v>22</v>
      </c>
      <c r="I2442" s="42">
        <v>746.99</v>
      </c>
      <c r="J2442" s="42"/>
      <c r="K2442" s="42"/>
      <c r="L2442" s="42">
        <v>746.99</v>
      </c>
      <c r="N2442" s="42">
        <v>746.99</v>
      </c>
    </row>
    <row r="2443" spans="1:14" x14ac:dyDescent="0.25">
      <c r="A2443" s="1">
        <v>46091</v>
      </c>
      <c r="B2443">
        <v>2</v>
      </c>
      <c r="C2443" t="s">
        <v>541</v>
      </c>
      <c r="D2443" t="s">
        <v>10</v>
      </c>
      <c r="E2443" t="s">
        <v>225</v>
      </c>
      <c r="F2443" t="s">
        <v>217</v>
      </c>
      <c r="G2443" t="s">
        <v>22</v>
      </c>
      <c r="I2443" s="42">
        <v>746.99</v>
      </c>
      <c r="J2443" s="42">
        <v>30</v>
      </c>
      <c r="K2443" s="42"/>
      <c r="L2443" s="42">
        <v>776.99</v>
      </c>
      <c r="N2443" s="42">
        <v>776.99</v>
      </c>
    </row>
    <row r="2444" spans="1:14" x14ac:dyDescent="0.25">
      <c r="A2444" s="1">
        <v>46091</v>
      </c>
      <c r="B2444">
        <v>2</v>
      </c>
      <c r="C2444" t="s">
        <v>541</v>
      </c>
      <c r="D2444" t="s">
        <v>10</v>
      </c>
      <c r="E2444" t="s">
        <v>227</v>
      </c>
      <c r="F2444" t="s">
        <v>12</v>
      </c>
      <c r="G2444" t="s">
        <v>104</v>
      </c>
      <c r="I2444" s="42">
        <v>746</v>
      </c>
      <c r="J2444" s="42">
        <v>4</v>
      </c>
      <c r="K2444" s="42"/>
      <c r="L2444" s="42">
        <v>750</v>
      </c>
      <c r="N2444" s="42">
        <v>750</v>
      </c>
    </row>
    <row r="2445" spans="1:14" x14ac:dyDescent="0.25">
      <c r="A2445" s="1">
        <v>46091</v>
      </c>
      <c r="B2445">
        <v>2</v>
      </c>
      <c r="C2445" t="s">
        <v>541</v>
      </c>
      <c r="D2445" t="s">
        <v>10</v>
      </c>
      <c r="E2445" t="s">
        <v>229</v>
      </c>
      <c r="F2445" t="s">
        <v>230</v>
      </c>
      <c r="G2445" t="s">
        <v>22</v>
      </c>
      <c r="I2445" s="42">
        <v>746.99</v>
      </c>
      <c r="J2445" s="42">
        <v>30</v>
      </c>
      <c r="K2445" s="42"/>
      <c r="L2445" s="42">
        <v>776.99</v>
      </c>
      <c r="N2445" s="42">
        <v>776.99</v>
      </c>
    </row>
    <row r="2446" spans="1:14" x14ac:dyDescent="0.25">
      <c r="A2446" s="1">
        <v>46091</v>
      </c>
      <c r="B2446">
        <v>2</v>
      </c>
      <c r="C2446" t="s">
        <v>541</v>
      </c>
      <c r="D2446" t="s">
        <v>10</v>
      </c>
      <c r="E2446" t="s">
        <v>232</v>
      </c>
      <c r="F2446" t="s">
        <v>158</v>
      </c>
      <c r="G2446" t="s">
        <v>22</v>
      </c>
      <c r="I2446" s="42">
        <v>746.99</v>
      </c>
      <c r="J2446" s="42">
        <v>90</v>
      </c>
      <c r="K2446" s="42"/>
      <c r="L2446" s="42">
        <v>836.99</v>
      </c>
      <c r="N2446" s="42">
        <v>836.99</v>
      </c>
    </row>
    <row r="2447" spans="1:14" x14ac:dyDescent="0.25">
      <c r="A2447" s="1">
        <v>46091</v>
      </c>
      <c r="B2447">
        <v>2</v>
      </c>
      <c r="C2447" t="s">
        <v>541</v>
      </c>
      <c r="D2447" t="s">
        <v>10</v>
      </c>
      <c r="E2447" t="s">
        <v>236</v>
      </c>
      <c r="F2447" t="s">
        <v>158</v>
      </c>
      <c r="G2447" t="s">
        <v>104</v>
      </c>
      <c r="I2447" s="42">
        <v>746.99</v>
      </c>
      <c r="J2447" s="42">
        <v>150</v>
      </c>
      <c r="K2447" s="42"/>
      <c r="L2447" s="42">
        <v>896.99</v>
      </c>
      <c r="N2447" s="42">
        <v>750</v>
      </c>
    </row>
    <row r="2448" spans="1:14" x14ac:dyDescent="0.25">
      <c r="A2448" s="1">
        <v>46091</v>
      </c>
      <c r="B2448">
        <v>2</v>
      </c>
      <c r="C2448" t="s">
        <v>541</v>
      </c>
      <c r="D2448" t="s">
        <v>10</v>
      </c>
      <c r="E2448" t="s">
        <v>238</v>
      </c>
      <c r="F2448" t="s">
        <v>158</v>
      </c>
      <c r="G2448" t="s">
        <v>66</v>
      </c>
      <c r="I2448" s="42">
        <v>746.99</v>
      </c>
      <c r="J2448" s="42"/>
      <c r="K2448" s="42">
        <v>0.99</v>
      </c>
      <c r="L2448" s="42">
        <v>746</v>
      </c>
      <c r="N2448" s="42">
        <v>746</v>
      </c>
    </row>
    <row r="2449" spans="1:14" x14ac:dyDescent="0.25">
      <c r="A2449" s="1">
        <v>46091</v>
      </c>
      <c r="B2449">
        <v>2</v>
      </c>
      <c r="C2449" t="s">
        <v>542</v>
      </c>
      <c r="D2449" t="s">
        <v>99</v>
      </c>
      <c r="E2449" t="s">
        <v>240</v>
      </c>
      <c r="F2449" t="s">
        <v>158</v>
      </c>
      <c r="G2449" t="s">
        <v>111</v>
      </c>
      <c r="I2449" s="42">
        <v>746.99</v>
      </c>
      <c r="J2449" s="42"/>
      <c r="K2449" s="42"/>
      <c r="L2449" s="42">
        <v>746.99</v>
      </c>
      <c r="N2449" s="42"/>
    </row>
    <row r="2450" spans="1:14" x14ac:dyDescent="0.25">
      <c r="A2450" s="1">
        <v>46091</v>
      </c>
      <c r="B2450">
        <v>2</v>
      </c>
      <c r="C2450" t="s">
        <v>541</v>
      </c>
      <c r="D2450" t="s">
        <v>10</v>
      </c>
      <c r="E2450" t="s">
        <v>242</v>
      </c>
      <c r="F2450" t="s">
        <v>217</v>
      </c>
      <c r="G2450" t="s">
        <v>13</v>
      </c>
      <c r="I2450" s="42">
        <v>745</v>
      </c>
      <c r="J2450" s="42"/>
      <c r="K2450" s="42"/>
      <c r="L2450" s="42">
        <v>745</v>
      </c>
      <c r="N2450" s="42">
        <v>745</v>
      </c>
    </row>
    <row r="2451" spans="1:14" x14ac:dyDescent="0.25">
      <c r="A2451" s="1">
        <v>46091</v>
      </c>
      <c r="B2451">
        <v>2</v>
      </c>
      <c r="C2451" t="s">
        <v>541</v>
      </c>
      <c r="D2451" t="s">
        <v>10</v>
      </c>
      <c r="E2451" t="s">
        <v>252</v>
      </c>
      <c r="F2451" t="s">
        <v>158</v>
      </c>
      <c r="G2451" t="s">
        <v>22</v>
      </c>
      <c r="I2451" s="42">
        <v>746.99</v>
      </c>
      <c r="J2451" s="42"/>
      <c r="K2451" s="42"/>
      <c r="L2451" s="42">
        <v>746.99</v>
      </c>
      <c r="N2451" s="42">
        <v>746.99</v>
      </c>
    </row>
    <row r="2452" spans="1:14" x14ac:dyDescent="0.25">
      <c r="A2452" s="1">
        <v>46091</v>
      </c>
      <c r="B2452">
        <v>2</v>
      </c>
      <c r="C2452" t="s">
        <v>541</v>
      </c>
      <c r="D2452" t="s">
        <v>10</v>
      </c>
      <c r="E2452" t="s">
        <v>254</v>
      </c>
      <c r="F2452" t="s">
        <v>255</v>
      </c>
      <c r="G2452" t="s">
        <v>66</v>
      </c>
      <c r="I2452" s="42">
        <v>851.99</v>
      </c>
      <c r="J2452" s="42"/>
      <c r="K2452" s="42">
        <v>1.99</v>
      </c>
      <c r="L2452" s="42">
        <v>850</v>
      </c>
      <c r="N2452" s="42">
        <v>850</v>
      </c>
    </row>
    <row r="2453" spans="1:14" x14ac:dyDescent="0.25">
      <c r="A2453" s="1">
        <v>46091</v>
      </c>
      <c r="B2453">
        <v>2</v>
      </c>
      <c r="C2453" t="s">
        <v>541</v>
      </c>
      <c r="D2453" t="s">
        <v>10</v>
      </c>
      <c r="E2453" t="s">
        <v>329</v>
      </c>
      <c r="F2453" t="s">
        <v>158</v>
      </c>
      <c r="G2453" t="s">
        <v>104</v>
      </c>
      <c r="I2453" s="42">
        <v>746.99</v>
      </c>
      <c r="J2453" s="42">
        <v>0.01</v>
      </c>
      <c r="K2453" s="42"/>
      <c r="L2453" s="42">
        <v>747</v>
      </c>
      <c r="N2453" s="42">
        <v>747</v>
      </c>
    </row>
    <row r="2454" spans="1:14" x14ac:dyDescent="0.25">
      <c r="A2454" s="1">
        <v>46091</v>
      </c>
      <c r="B2454">
        <v>2</v>
      </c>
      <c r="C2454" t="s">
        <v>541</v>
      </c>
      <c r="D2454" t="s">
        <v>10</v>
      </c>
      <c r="E2454" t="s">
        <v>259</v>
      </c>
      <c r="F2454" t="s">
        <v>260</v>
      </c>
      <c r="G2454" t="s">
        <v>261</v>
      </c>
      <c r="I2454" s="42">
        <v>881.99</v>
      </c>
      <c r="J2454" s="42">
        <v>45</v>
      </c>
      <c r="K2454" s="42"/>
      <c r="L2454" s="42">
        <v>926.99</v>
      </c>
      <c r="N2454" s="42">
        <v>926.99</v>
      </c>
    </row>
    <row r="2455" spans="1:14" x14ac:dyDescent="0.25">
      <c r="A2455" s="1">
        <v>46091</v>
      </c>
      <c r="B2455">
        <v>2</v>
      </c>
      <c r="C2455" t="s">
        <v>541</v>
      </c>
      <c r="D2455" t="s">
        <v>10</v>
      </c>
      <c r="E2455" t="s">
        <v>266</v>
      </c>
      <c r="F2455" t="s">
        <v>55</v>
      </c>
      <c r="G2455" t="s">
        <v>13</v>
      </c>
      <c r="I2455" s="42">
        <v>746.99</v>
      </c>
      <c r="J2455" s="42"/>
      <c r="K2455" s="42">
        <v>1.99</v>
      </c>
      <c r="L2455" s="42">
        <v>745</v>
      </c>
      <c r="N2455" s="42">
        <v>745</v>
      </c>
    </row>
    <row r="2456" spans="1:14" x14ac:dyDescent="0.25">
      <c r="A2456" s="1">
        <v>46091</v>
      </c>
      <c r="B2456">
        <v>2</v>
      </c>
      <c r="C2456" t="s">
        <v>541</v>
      </c>
      <c r="D2456" t="s">
        <v>336</v>
      </c>
      <c r="E2456" t="s">
        <v>268</v>
      </c>
      <c r="F2456" t="s">
        <v>52</v>
      </c>
      <c r="G2456" t="s">
        <v>77</v>
      </c>
      <c r="I2456" s="42">
        <v>1251.99</v>
      </c>
      <c r="J2456" s="42"/>
      <c r="K2456" s="42"/>
      <c r="L2456" s="42">
        <v>1251.99</v>
      </c>
      <c r="N2456" s="42"/>
    </row>
    <row r="2457" spans="1:14" x14ac:dyDescent="0.25">
      <c r="A2457" s="1">
        <v>46091</v>
      </c>
      <c r="B2457">
        <v>2</v>
      </c>
      <c r="C2457" t="s">
        <v>541</v>
      </c>
      <c r="D2457" t="s">
        <v>10</v>
      </c>
      <c r="E2457" t="s">
        <v>270</v>
      </c>
      <c r="F2457" t="s">
        <v>12</v>
      </c>
      <c r="G2457" t="s">
        <v>13</v>
      </c>
      <c r="I2457" s="42">
        <v>746.99</v>
      </c>
      <c r="J2457" s="42"/>
      <c r="K2457" s="42"/>
      <c r="L2457" s="42">
        <v>746.99</v>
      </c>
      <c r="N2457" s="42">
        <v>746.99</v>
      </c>
    </row>
    <row r="2458" spans="1:14" x14ac:dyDescent="0.25">
      <c r="A2458" s="1">
        <v>46091</v>
      </c>
      <c r="B2458">
        <v>2</v>
      </c>
      <c r="C2458" t="s">
        <v>541</v>
      </c>
      <c r="D2458" t="s">
        <v>10</v>
      </c>
      <c r="E2458" t="s">
        <v>272</v>
      </c>
      <c r="F2458" t="s">
        <v>37</v>
      </c>
      <c r="G2458" t="s">
        <v>38</v>
      </c>
      <c r="I2458" s="42">
        <v>746.99</v>
      </c>
      <c r="J2458" s="42">
        <v>58.01</v>
      </c>
      <c r="K2458" s="42"/>
      <c r="L2458" s="42">
        <v>805</v>
      </c>
      <c r="N2458" s="42">
        <v>805</v>
      </c>
    </row>
    <row r="2459" spans="1:14" x14ac:dyDescent="0.25">
      <c r="A2459" s="1">
        <v>46091</v>
      </c>
      <c r="B2459">
        <v>2</v>
      </c>
      <c r="C2459" t="s">
        <v>541</v>
      </c>
      <c r="D2459" t="s">
        <v>10</v>
      </c>
      <c r="E2459" t="s">
        <v>274</v>
      </c>
      <c r="F2459" t="s">
        <v>52</v>
      </c>
      <c r="G2459" t="s">
        <v>77</v>
      </c>
      <c r="I2459" s="42">
        <v>1251.99</v>
      </c>
      <c r="J2459" s="42">
        <v>0.01</v>
      </c>
      <c r="K2459" s="42"/>
      <c r="L2459" s="42">
        <v>1252</v>
      </c>
      <c r="N2459" s="42">
        <v>1252</v>
      </c>
    </row>
    <row r="2460" spans="1:14" x14ac:dyDescent="0.25">
      <c r="A2460" s="1">
        <v>46091</v>
      </c>
      <c r="B2460">
        <v>2</v>
      </c>
      <c r="C2460" t="s">
        <v>541</v>
      </c>
      <c r="D2460" t="s">
        <v>10</v>
      </c>
      <c r="E2460" t="s">
        <v>276</v>
      </c>
      <c r="F2460" t="s">
        <v>277</v>
      </c>
      <c r="G2460" t="s">
        <v>13</v>
      </c>
      <c r="I2460" s="42">
        <v>746.99</v>
      </c>
      <c r="J2460" s="42">
        <v>3.01</v>
      </c>
      <c r="K2460" s="42"/>
      <c r="L2460" s="42">
        <v>750</v>
      </c>
      <c r="N2460" s="42">
        <v>750</v>
      </c>
    </row>
    <row r="2461" spans="1:14" x14ac:dyDescent="0.25">
      <c r="A2461" s="1">
        <v>46091</v>
      </c>
      <c r="B2461">
        <v>2</v>
      </c>
      <c r="C2461" t="s">
        <v>541</v>
      </c>
      <c r="D2461" t="s">
        <v>10</v>
      </c>
      <c r="E2461" t="s">
        <v>279</v>
      </c>
      <c r="F2461" t="s">
        <v>55</v>
      </c>
      <c r="G2461" t="s">
        <v>56</v>
      </c>
      <c r="I2461" s="42">
        <v>746.99</v>
      </c>
      <c r="J2461" s="42">
        <v>0.01</v>
      </c>
      <c r="K2461" s="42"/>
      <c r="L2461" s="42">
        <v>747</v>
      </c>
      <c r="N2461" s="42">
        <v>747</v>
      </c>
    </row>
    <row r="2462" spans="1:14" x14ac:dyDescent="0.25">
      <c r="A2462" s="1">
        <v>46091</v>
      </c>
      <c r="B2462">
        <v>2</v>
      </c>
      <c r="C2462" t="s">
        <v>541</v>
      </c>
      <c r="D2462" t="s">
        <v>10</v>
      </c>
      <c r="E2462" t="s">
        <v>285</v>
      </c>
      <c r="F2462" t="s">
        <v>76</v>
      </c>
      <c r="G2462" t="s">
        <v>77</v>
      </c>
      <c r="I2462" s="42">
        <v>1451.99</v>
      </c>
      <c r="J2462" s="42"/>
      <c r="K2462" s="42">
        <v>1.99</v>
      </c>
      <c r="L2462" s="42">
        <v>1450</v>
      </c>
      <c r="N2462" s="42">
        <v>1450</v>
      </c>
    </row>
    <row r="2463" spans="1:14" x14ac:dyDescent="0.25">
      <c r="A2463" s="1">
        <v>46091</v>
      </c>
      <c r="B2463">
        <v>2</v>
      </c>
      <c r="C2463" t="s">
        <v>541</v>
      </c>
      <c r="D2463" t="s">
        <v>10</v>
      </c>
      <c r="E2463" t="s">
        <v>293</v>
      </c>
      <c r="F2463" t="s">
        <v>294</v>
      </c>
      <c r="G2463" t="s">
        <v>13</v>
      </c>
      <c r="I2463" s="42">
        <v>746.99</v>
      </c>
      <c r="J2463" s="42"/>
      <c r="K2463" s="42"/>
      <c r="L2463" s="42">
        <v>746.99</v>
      </c>
      <c r="N2463" s="42">
        <v>746.99</v>
      </c>
    </row>
    <row r="2464" spans="1:14" x14ac:dyDescent="0.25">
      <c r="A2464" s="1">
        <v>46091</v>
      </c>
      <c r="B2464">
        <v>2</v>
      </c>
      <c r="C2464" t="s">
        <v>541</v>
      </c>
      <c r="D2464" t="s">
        <v>10</v>
      </c>
      <c r="E2464" t="s">
        <v>295</v>
      </c>
      <c r="F2464" t="s">
        <v>33</v>
      </c>
      <c r="G2464" t="s">
        <v>13</v>
      </c>
      <c r="I2464" s="42">
        <v>851.99</v>
      </c>
      <c r="J2464" s="42"/>
      <c r="K2464" s="42"/>
      <c r="L2464" s="42">
        <v>851.99</v>
      </c>
      <c r="N2464" s="42">
        <v>851.99</v>
      </c>
    </row>
    <row r="2465" spans="1:14" x14ac:dyDescent="0.25">
      <c r="A2465" s="1">
        <v>46091</v>
      </c>
      <c r="B2465">
        <v>2</v>
      </c>
      <c r="C2465" t="s">
        <v>541</v>
      </c>
      <c r="D2465" t="s">
        <v>10</v>
      </c>
      <c r="E2465" t="s">
        <v>108</v>
      </c>
      <c r="F2465" t="s">
        <v>55</v>
      </c>
      <c r="G2465" t="s">
        <v>104</v>
      </c>
      <c r="I2465" s="42">
        <v>746.99</v>
      </c>
      <c r="J2465" s="42"/>
      <c r="K2465" s="42"/>
      <c r="L2465" s="42">
        <v>746.99</v>
      </c>
      <c r="N2465" s="42">
        <v>746.99</v>
      </c>
    </row>
    <row r="2466" spans="1:14" x14ac:dyDescent="0.25">
      <c r="A2466" s="1">
        <v>46091</v>
      </c>
      <c r="B2466">
        <v>2</v>
      </c>
      <c r="C2466" t="s">
        <v>541</v>
      </c>
      <c r="D2466" t="s">
        <v>10</v>
      </c>
      <c r="E2466" t="s">
        <v>209</v>
      </c>
      <c r="F2466" t="s">
        <v>33</v>
      </c>
      <c r="G2466" t="s">
        <v>13</v>
      </c>
      <c r="I2466" s="42">
        <v>851.99</v>
      </c>
      <c r="J2466" s="42">
        <v>30</v>
      </c>
      <c r="K2466" s="42"/>
      <c r="L2466" s="42">
        <v>881.99</v>
      </c>
      <c r="N2466" s="42">
        <v>881.99</v>
      </c>
    </row>
    <row r="2467" spans="1:14" x14ac:dyDescent="0.25">
      <c r="A2467" s="1">
        <v>46091</v>
      </c>
      <c r="B2467">
        <v>2</v>
      </c>
      <c r="C2467" t="s">
        <v>541</v>
      </c>
      <c r="D2467" t="s">
        <v>10</v>
      </c>
      <c r="E2467" t="s">
        <v>341</v>
      </c>
      <c r="F2467" t="s">
        <v>52</v>
      </c>
      <c r="G2467" t="s">
        <v>183</v>
      </c>
      <c r="I2467" s="42">
        <v>1251.99</v>
      </c>
      <c r="J2467" s="42"/>
      <c r="K2467" s="42"/>
      <c r="L2467" s="42">
        <v>1251.99</v>
      </c>
      <c r="N2467" s="42">
        <v>1251.99</v>
      </c>
    </row>
    <row r="2468" spans="1:14" x14ac:dyDescent="0.25">
      <c r="A2468" s="1">
        <v>46091</v>
      </c>
      <c r="B2468">
        <v>2</v>
      </c>
      <c r="C2468" t="s">
        <v>541</v>
      </c>
      <c r="D2468" t="s">
        <v>10</v>
      </c>
      <c r="E2468" t="s">
        <v>175</v>
      </c>
      <c r="F2468" t="s">
        <v>52</v>
      </c>
      <c r="G2468" t="s">
        <v>77</v>
      </c>
      <c r="I2468" s="42">
        <v>1251.99</v>
      </c>
      <c r="J2468" s="42">
        <v>48.01</v>
      </c>
      <c r="K2468" s="42"/>
      <c r="L2468" s="42">
        <v>1300</v>
      </c>
      <c r="N2468" s="42">
        <v>1300</v>
      </c>
    </row>
    <row r="2469" spans="1:14" x14ac:dyDescent="0.25">
      <c r="A2469" s="1">
        <v>46091</v>
      </c>
      <c r="B2469">
        <v>2</v>
      </c>
      <c r="C2469" t="s">
        <v>541</v>
      </c>
      <c r="D2469" t="s">
        <v>10</v>
      </c>
      <c r="E2469" t="s">
        <v>342</v>
      </c>
      <c r="F2469" t="s">
        <v>41</v>
      </c>
      <c r="G2469" t="s">
        <v>13</v>
      </c>
      <c r="I2469" s="42">
        <v>746.99</v>
      </c>
      <c r="J2469" s="42"/>
      <c r="K2469" s="42"/>
      <c r="L2469" s="42">
        <v>746.99</v>
      </c>
      <c r="N2469" s="42">
        <v>746.99</v>
      </c>
    </row>
    <row r="2470" spans="1:14" x14ac:dyDescent="0.25">
      <c r="A2470" s="1">
        <v>46091</v>
      </c>
      <c r="B2470">
        <v>2</v>
      </c>
      <c r="C2470" t="s">
        <v>541</v>
      </c>
      <c r="D2470" t="s">
        <v>10</v>
      </c>
      <c r="E2470" t="s">
        <v>221</v>
      </c>
      <c r="F2470" t="s">
        <v>37</v>
      </c>
      <c r="G2470" t="s">
        <v>70</v>
      </c>
      <c r="I2470" s="42">
        <v>746.99</v>
      </c>
      <c r="J2470" s="42"/>
      <c r="K2470" s="42"/>
      <c r="L2470" s="42">
        <v>746.99</v>
      </c>
      <c r="N2470" s="42">
        <v>746.99</v>
      </c>
    </row>
    <row r="2471" spans="1:14" x14ac:dyDescent="0.25">
      <c r="A2471" s="1">
        <v>46091</v>
      </c>
      <c r="B2471">
        <v>2</v>
      </c>
      <c r="C2471" t="s">
        <v>541</v>
      </c>
      <c r="D2471" t="s">
        <v>10</v>
      </c>
      <c r="E2471" t="s">
        <v>24</v>
      </c>
      <c r="F2471" t="s">
        <v>25</v>
      </c>
      <c r="G2471" t="s">
        <v>13</v>
      </c>
      <c r="I2471" s="42">
        <v>1351.99</v>
      </c>
      <c r="J2471" s="42"/>
      <c r="K2471" s="42">
        <v>1.99</v>
      </c>
      <c r="L2471" s="42">
        <v>1350</v>
      </c>
      <c r="N2471" s="42">
        <v>1350</v>
      </c>
    </row>
    <row r="2472" spans="1:14" x14ac:dyDescent="0.25">
      <c r="A2472" s="1">
        <v>46091</v>
      </c>
      <c r="B2472">
        <v>2</v>
      </c>
      <c r="C2472" t="s">
        <v>541</v>
      </c>
      <c r="D2472" t="s">
        <v>10</v>
      </c>
      <c r="E2472" t="s">
        <v>164</v>
      </c>
      <c r="F2472" t="s">
        <v>12</v>
      </c>
      <c r="G2472" t="s">
        <v>13</v>
      </c>
      <c r="I2472" s="42">
        <v>746.99</v>
      </c>
      <c r="J2472" s="42"/>
      <c r="K2472" s="42"/>
      <c r="L2472" s="42">
        <v>746.99</v>
      </c>
      <c r="N2472" s="42">
        <v>746.99</v>
      </c>
    </row>
    <row r="2473" spans="1:14" x14ac:dyDescent="0.25">
      <c r="A2473" s="1">
        <v>46091</v>
      </c>
      <c r="B2473">
        <v>2</v>
      </c>
      <c r="C2473" t="s">
        <v>541</v>
      </c>
      <c r="D2473" t="s">
        <v>10</v>
      </c>
      <c r="E2473" t="s">
        <v>263</v>
      </c>
      <c r="F2473" t="s">
        <v>264</v>
      </c>
      <c r="G2473" t="s">
        <v>66</v>
      </c>
      <c r="I2473" s="42">
        <v>746.99</v>
      </c>
      <c r="J2473" s="42"/>
      <c r="K2473" s="42"/>
      <c r="L2473" s="42">
        <v>952</v>
      </c>
      <c r="N2473" s="42">
        <v>746.99</v>
      </c>
    </row>
    <row r="2474" spans="1:14" x14ac:dyDescent="0.25">
      <c r="A2474" s="1">
        <v>46091</v>
      </c>
      <c r="B2474">
        <v>2</v>
      </c>
      <c r="C2474" t="s">
        <v>541</v>
      </c>
      <c r="D2474" t="s">
        <v>10</v>
      </c>
      <c r="E2474" t="s">
        <v>318</v>
      </c>
      <c r="F2474" t="s">
        <v>12</v>
      </c>
      <c r="G2474" t="s">
        <v>346</v>
      </c>
      <c r="I2474" s="42">
        <v>746.99</v>
      </c>
      <c r="J2474" s="42">
        <v>120.01</v>
      </c>
      <c r="K2474" s="42"/>
      <c r="L2474" s="42">
        <v>867</v>
      </c>
      <c r="N2474" s="42">
        <v>867</v>
      </c>
    </row>
    <row r="2475" spans="1:14" x14ac:dyDescent="0.25">
      <c r="A2475" s="1">
        <v>46091</v>
      </c>
      <c r="B2475">
        <v>2</v>
      </c>
      <c r="C2475" t="s">
        <v>542</v>
      </c>
      <c r="D2475" t="s">
        <v>99</v>
      </c>
      <c r="E2475" t="s">
        <v>323</v>
      </c>
      <c r="F2475" t="s">
        <v>158</v>
      </c>
      <c r="G2475" t="s">
        <v>346</v>
      </c>
      <c r="I2475" s="42">
        <v>746.99</v>
      </c>
      <c r="J2475" s="42"/>
      <c r="K2475" s="42"/>
      <c r="L2475" s="42">
        <v>746.99</v>
      </c>
      <c r="N2475" s="42"/>
    </row>
    <row r="2476" spans="1:14" x14ac:dyDescent="0.25">
      <c r="A2476" s="1">
        <v>46091</v>
      </c>
      <c r="B2476">
        <v>2</v>
      </c>
      <c r="C2476" t="s">
        <v>541</v>
      </c>
      <c r="D2476" t="s">
        <v>10</v>
      </c>
      <c r="E2476" t="s">
        <v>713</v>
      </c>
      <c r="F2476" t="s">
        <v>41</v>
      </c>
      <c r="G2476" t="s">
        <v>714</v>
      </c>
      <c r="I2476" s="42">
        <v>746.99</v>
      </c>
      <c r="J2476" s="42">
        <v>30</v>
      </c>
      <c r="K2476" s="42"/>
      <c r="L2476" s="42">
        <v>776.99</v>
      </c>
      <c r="N2476" s="42">
        <v>776.99</v>
      </c>
    </row>
    <row r="2477" spans="1:14" x14ac:dyDescent="0.25">
      <c r="A2477" s="1">
        <v>46091</v>
      </c>
      <c r="B2477">
        <v>2</v>
      </c>
      <c r="C2477" t="s">
        <v>541</v>
      </c>
      <c r="D2477" t="s">
        <v>10</v>
      </c>
      <c r="E2477" t="s">
        <v>324</v>
      </c>
      <c r="F2477" t="s">
        <v>158</v>
      </c>
      <c r="G2477" t="s">
        <v>13</v>
      </c>
      <c r="I2477" s="42">
        <v>746.99</v>
      </c>
      <c r="J2477" s="42"/>
      <c r="K2477" s="42"/>
      <c r="L2477" s="42">
        <v>746.99</v>
      </c>
      <c r="N2477" s="42">
        <v>746.99</v>
      </c>
    </row>
    <row r="2478" spans="1:14" x14ac:dyDescent="0.25">
      <c r="A2478" s="1">
        <v>46091</v>
      </c>
      <c r="B2478">
        <v>2</v>
      </c>
      <c r="C2478" t="s">
        <v>542</v>
      </c>
      <c r="D2478" t="s">
        <v>99</v>
      </c>
      <c r="E2478" t="s">
        <v>320</v>
      </c>
      <c r="F2478" t="s">
        <v>55</v>
      </c>
      <c r="G2478" t="s">
        <v>13</v>
      </c>
      <c r="I2478" s="42">
        <v>746.99</v>
      </c>
      <c r="J2478" s="42"/>
      <c r="K2478" s="42"/>
      <c r="L2478" s="42">
        <v>746.99</v>
      </c>
      <c r="N2478" s="42"/>
    </row>
    <row r="2479" spans="1:14" x14ac:dyDescent="0.25">
      <c r="A2479" s="1">
        <v>46091</v>
      </c>
      <c r="B2479">
        <v>2</v>
      </c>
      <c r="C2479" t="s">
        <v>541</v>
      </c>
      <c r="D2479" t="s">
        <v>10</v>
      </c>
      <c r="E2479" t="s">
        <v>283</v>
      </c>
      <c r="F2479" t="s">
        <v>76</v>
      </c>
      <c r="G2479" t="s">
        <v>77</v>
      </c>
      <c r="I2479" s="42">
        <v>1451.99</v>
      </c>
      <c r="J2479" s="42"/>
      <c r="K2479" s="42"/>
      <c r="L2479" s="42">
        <v>1946.99</v>
      </c>
      <c r="N2479" s="42">
        <v>1451.49</v>
      </c>
    </row>
    <row r="2480" spans="1:14" x14ac:dyDescent="0.25">
      <c r="A2480" s="1">
        <v>46091</v>
      </c>
      <c r="B2480">
        <v>2</v>
      </c>
      <c r="C2480" t="s">
        <v>542</v>
      </c>
      <c r="D2480" t="s">
        <v>89</v>
      </c>
      <c r="E2480" t="s">
        <v>205</v>
      </c>
      <c r="F2480" t="s">
        <v>33</v>
      </c>
      <c r="G2480" t="s">
        <v>13</v>
      </c>
      <c r="I2480" s="42">
        <v>851.99</v>
      </c>
      <c r="J2480" s="42"/>
      <c r="K2480" s="42"/>
      <c r="L2480" s="42">
        <v>851.99</v>
      </c>
      <c r="N2480" s="42"/>
    </row>
    <row r="2481" spans="1:14" x14ac:dyDescent="0.25">
      <c r="A2481" s="1">
        <v>46091</v>
      </c>
      <c r="B2481">
        <v>2</v>
      </c>
      <c r="C2481" t="s">
        <v>541</v>
      </c>
      <c r="D2481" t="s">
        <v>10</v>
      </c>
      <c r="E2481" t="s">
        <v>124</v>
      </c>
      <c r="F2481" t="s">
        <v>52</v>
      </c>
      <c r="G2481" t="s">
        <v>77</v>
      </c>
      <c r="I2481" s="42">
        <v>1251.99</v>
      </c>
      <c r="J2481" s="42"/>
      <c r="K2481" s="42"/>
      <c r="L2481" s="42">
        <v>1846.99</v>
      </c>
      <c r="N2481" s="42">
        <v>1251.99</v>
      </c>
    </row>
    <row r="2482" spans="1:14" x14ac:dyDescent="0.25">
      <c r="A2482" s="1">
        <v>46091</v>
      </c>
      <c r="B2482">
        <v>2</v>
      </c>
      <c r="C2482" t="s">
        <v>541</v>
      </c>
      <c r="D2482" t="s">
        <v>10</v>
      </c>
      <c r="E2482" t="s">
        <v>157</v>
      </c>
      <c r="F2482" t="s">
        <v>158</v>
      </c>
      <c r="G2482" t="s">
        <v>111</v>
      </c>
      <c r="I2482" s="42">
        <v>746.99</v>
      </c>
      <c r="J2482" s="42"/>
      <c r="K2482" s="42"/>
      <c r="L2482" s="42">
        <v>1241.99</v>
      </c>
      <c r="N2482" s="42">
        <v>746.99</v>
      </c>
    </row>
    <row r="2483" spans="1:14" x14ac:dyDescent="0.25">
      <c r="A2483" s="1">
        <v>46091</v>
      </c>
      <c r="B2483">
        <v>2</v>
      </c>
      <c r="C2483" t="s">
        <v>541</v>
      </c>
      <c r="D2483" t="s">
        <v>10</v>
      </c>
      <c r="E2483" t="s">
        <v>204</v>
      </c>
      <c r="F2483" t="s">
        <v>12</v>
      </c>
      <c r="G2483" t="s">
        <v>13</v>
      </c>
      <c r="I2483" s="42">
        <v>746.99</v>
      </c>
      <c r="J2483" s="42"/>
      <c r="K2483" s="42"/>
      <c r="L2483" s="42">
        <v>1241.99</v>
      </c>
      <c r="N2483" s="42">
        <v>746.99</v>
      </c>
    </row>
    <row r="2484" spans="1:14" x14ac:dyDescent="0.25">
      <c r="A2484" s="1">
        <v>46091</v>
      </c>
      <c r="B2484">
        <v>2</v>
      </c>
      <c r="C2484" t="s">
        <v>542</v>
      </c>
      <c r="D2484" t="s">
        <v>89</v>
      </c>
      <c r="E2484" t="s">
        <v>235</v>
      </c>
      <c r="F2484" t="s">
        <v>158</v>
      </c>
      <c r="G2484" t="s">
        <v>104</v>
      </c>
      <c r="I2484" s="42">
        <v>746.99</v>
      </c>
      <c r="J2484" s="42"/>
      <c r="K2484" s="42"/>
      <c r="L2484" s="42">
        <v>746.99</v>
      </c>
      <c r="N2484" s="42"/>
    </row>
    <row r="2485" spans="1:14" x14ac:dyDescent="0.25">
      <c r="A2485" s="1">
        <v>46091</v>
      </c>
      <c r="B2485">
        <v>2</v>
      </c>
      <c r="C2485" t="s">
        <v>542</v>
      </c>
      <c r="D2485" t="s">
        <v>99</v>
      </c>
      <c r="E2485" t="s">
        <v>115</v>
      </c>
      <c r="F2485" t="s">
        <v>116</v>
      </c>
      <c r="G2485" t="s">
        <v>13</v>
      </c>
      <c r="I2485" s="42">
        <v>746.99</v>
      </c>
      <c r="J2485" s="42"/>
      <c r="K2485" s="42"/>
      <c r="L2485" s="42">
        <v>746.99</v>
      </c>
      <c r="N2485" s="42"/>
    </row>
    <row r="2486" spans="1:14" x14ac:dyDescent="0.25">
      <c r="A2486" s="1">
        <v>46091</v>
      </c>
      <c r="B2486">
        <v>2</v>
      </c>
      <c r="C2486" t="s">
        <v>542</v>
      </c>
      <c r="D2486" t="s">
        <v>89</v>
      </c>
      <c r="E2486" t="s">
        <v>93</v>
      </c>
      <c r="F2486" t="s">
        <v>94</v>
      </c>
      <c r="G2486" t="s">
        <v>95</v>
      </c>
      <c r="I2486" s="42">
        <v>746.99</v>
      </c>
      <c r="J2486" s="42"/>
      <c r="K2486" s="42"/>
      <c r="L2486" s="42">
        <v>746.99</v>
      </c>
      <c r="N2486" s="42"/>
    </row>
    <row r="2487" spans="1:14" x14ac:dyDescent="0.25">
      <c r="A2487" s="1">
        <v>46091</v>
      </c>
      <c r="B2487">
        <v>2</v>
      </c>
      <c r="C2487" t="s">
        <v>541</v>
      </c>
      <c r="D2487" t="s">
        <v>10</v>
      </c>
      <c r="E2487" t="s">
        <v>219</v>
      </c>
      <c r="F2487" t="s">
        <v>12</v>
      </c>
      <c r="G2487" t="s">
        <v>13</v>
      </c>
      <c r="I2487" s="42">
        <v>746.99</v>
      </c>
      <c r="J2487" s="42"/>
      <c r="K2487" s="42">
        <v>381.85</v>
      </c>
      <c r="L2487" s="42">
        <v>365.14</v>
      </c>
      <c r="N2487" s="42">
        <v>365.14</v>
      </c>
    </row>
    <row r="2488" spans="1:14" x14ac:dyDescent="0.25">
      <c r="A2488" s="1">
        <v>46091</v>
      </c>
      <c r="B2488">
        <v>2</v>
      </c>
      <c r="C2488" t="s">
        <v>542</v>
      </c>
      <c r="D2488" t="s">
        <v>336</v>
      </c>
      <c r="E2488" t="s">
        <v>100</v>
      </c>
      <c r="F2488" t="s">
        <v>101</v>
      </c>
      <c r="G2488" t="s">
        <v>13</v>
      </c>
      <c r="I2488" s="42">
        <v>1351.99</v>
      </c>
      <c r="J2488" s="42"/>
      <c r="K2488" s="42"/>
      <c r="L2488" s="42">
        <v>1351.99</v>
      </c>
      <c r="N2488" s="42"/>
    </row>
    <row r="2489" spans="1:14" x14ac:dyDescent="0.25">
      <c r="A2489" s="1">
        <v>46091</v>
      </c>
      <c r="B2489">
        <v>2</v>
      </c>
      <c r="C2489" t="s">
        <v>542</v>
      </c>
      <c r="D2489" t="s">
        <v>336</v>
      </c>
      <c r="E2489" t="s">
        <v>171</v>
      </c>
      <c r="F2489" t="s">
        <v>52</v>
      </c>
      <c r="G2489" t="s">
        <v>13</v>
      </c>
      <c r="I2489" s="42">
        <v>1251.99</v>
      </c>
      <c r="J2489" s="42"/>
      <c r="K2489" s="42"/>
      <c r="L2489" s="42">
        <v>1251.99</v>
      </c>
      <c r="N2489" s="42"/>
    </row>
    <row r="2490" spans="1:14" x14ac:dyDescent="0.25">
      <c r="A2490" s="1">
        <v>46091</v>
      </c>
      <c r="B2490">
        <v>2</v>
      </c>
      <c r="C2490" t="s">
        <v>542</v>
      </c>
      <c r="D2490" t="s">
        <v>89</v>
      </c>
      <c r="E2490" t="s">
        <v>344</v>
      </c>
      <c r="F2490" t="s">
        <v>116</v>
      </c>
      <c r="G2490" t="s">
        <v>13</v>
      </c>
      <c r="I2490" s="42">
        <v>746.99</v>
      </c>
      <c r="J2490" s="42"/>
      <c r="K2490" s="42"/>
      <c r="L2490" s="42">
        <v>746.99</v>
      </c>
      <c r="N2490" s="42"/>
    </row>
    <row r="2491" spans="1:14" x14ac:dyDescent="0.25">
      <c r="A2491" s="1">
        <v>46091</v>
      </c>
      <c r="B2491">
        <v>2</v>
      </c>
      <c r="C2491" t="s">
        <v>542</v>
      </c>
      <c r="D2491" t="s">
        <v>336</v>
      </c>
      <c r="E2491" t="s">
        <v>49</v>
      </c>
      <c r="F2491" t="s">
        <v>12</v>
      </c>
      <c r="G2491" t="s">
        <v>13</v>
      </c>
      <c r="I2491" s="42">
        <v>746.99</v>
      </c>
      <c r="J2491" s="42"/>
      <c r="K2491" s="42"/>
      <c r="L2491" s="42">
        <v>746.99</v>
      </c>
      <c r="N2491" s="42"/>
    </row>
    <row r="2492" spans="1:14" x14ac:dyDescent="0.25">
      <c r="A2492" s="1">
        <v>46091</v>
      </c>
      <c r="B2492">
        <v>2</v>
      </c>
      <c r="C2492" t="s">
        <v>542</v>
      </c>
      <c r="D2492" t="s">
        <v>99</v>
      </c>
      <c r="E2492" t="s">
        <v>287</v>
      </c>
      <c r="F2492" t="s">
        <v>52</v>
      </c>
      <c r="G2492" t="s">
        <v>77</v>
      </c>
      <c r="I2492" s="42">
        <v>1251.99</v>
      </c>
      <c r="J2492" s="42"/>
      <c r="K2492" s="42"/>
      <c r="L2492" s="42">
        <v>1251.99</v>
      </c>
      <c r="M2492" s="37">
        <v>2750</v>
      </c>
      <c r="N2492" s="42"/>
    </row>
    <row r="2493" spans="1:14" x14ac:dyDescent="0.25">
      <c r="A2493" s="1">
        <v>46091</v>
      </c>
      <c r="B2493">
        <v>2</v>
      </c>
      <c r="C2493" t="s">
        <v>542</v>
      </c>
      <c r="D2493" t="s">
        <v>336</v>
      </c>
      <c r="E2493" t="s">
        <v>315</v>
      </c>
      <c r="F2493" t="s">
        <v>41</v>
      </c>
      <c r="G2493" t="s">
        <v>111</v>
      </c>
      <c r="I2493" s="42">
        <v>746.99</v>
      </c>
      <c r="J2493" s="42"/>
      <c r="K2493" s="42"/>
      <c r="L2493" s="42">
        <v>746.99</v>
      </c>
      <c r="N2493" s="42"/>
    </row>
    <row r="2494" spans="1:14" x14ac:dyDescent="0.25">
      <c r="A2494" s="1">
        <v>46091</v>
      </c>
      <c r="B2494">
        <v>2</v>
      </c>
      <c r="C2494" t="s">
        <v>542</v>
      </c>
      <c r="D2494" t="s">
        <v>336</v>
      </c>
      <c r="E2494" t="s">
        <v>173</v>
      </c>
      <c r="F2494" t="s">
        <v>52</v>
      </c>
      <c r="G2494" t="s">
        <v>77</v>
      </c>
      <c r="I2494" s="42">
        <v>1251.99</v>
      </c>
      <c r="J2494" s="42"/>
      <c r="K2494" s="42"/>
      <c r="L2494" s="42">
        <v>1251.99</v>
      </c>
      <c r="N2494" s="42"/>
    </row>
    <row r="2495" spans="1:14" x14ac:dyDescent="0.25">
      <c r="A2495" s="1">
        <v>46091</v>
      </c>
      <c r="B2495">
        <v>2</v>
      </c>
      <c r="C2495" t="s">
        <v>542</v>
      </c>
      <c r="D2495" t="s">
        <v>99</v>
      </c>
      <c r="E2495" t="s">
        <v>319</v>
      </c>
      <c r="F2495" t="s">
        <v>158</v>
      </c>
      <c r="G2495" t="s">
        <v>13</v>
      </c>
      <c r="I2495" s="42">
        <v>746.99</v>
      </c>
      <c r="J2495" s="42"/>
      <c r="K2495" s="42"/>
      <c r="L2495" s="42">
        <v>746.99</v>
      </c>
      <c r="N2495" s="42"/>
    </row>
    <row r="2496" spans="1:14" x14ac:dyDescent="0.25">
      <c r="A2496" s="1">
        <v>46091</v>
      </c>
      <c r="B2496">
        <v>2</v>
      </c>
      <c r="C2496" t="s">
        <v>542</v>
      </c>
      <c r="D2496" t="s">
        <v>99</v>
      </c>
      <c r="E2496" t="s">
        <v>325</v>
      </c>
      <c r="F2496" t="s">
        <v>158</v>
      </c>
      <c r="G2496" t="s">
        <v>13</v>
      </c>
      <c r="I2496" s="42">
        <v>746.99</v>
      </c>
      <c r="J2496" s="42"/>
      <c r="K2496" s="42"/>
      <c r="L2496" s="42">
        <v>746.99</v>
      </c>
      <c r="N2496" s="42"/>
    </row>
    <row r="2497" spans="1:14" x14ac:dyDescent="0.25">
      <c r="A2497" s="1">
        <v>46091</v>
      </c>
      <c r="B2497">
        <v>2</v>
      </c>
      <c r="C2497" t="s">
        <v>542</v>
      </c>
      <c r="D2497" t="s">
        <v>99</v>
      </c>
      <c r="E2497" t="s">
        <v>334</v>
      </c>
      <c r="F2497" t="s">
        <v>28</v>
      </c>
      <c r="G2497" t="s">
        <v>13</v>
      </c>
      <c r="I2497" s="42">
        <v>931.99</v>
      </c>
      <c r="J2497" s="42"/>
      <c r="K2497" s="42"/>
      <c r="L2497" s="42">
        <v>931.99</v>
      </c>
      <c r="N2497" s="42"/>
    </row>
    <row r="2498" spans="1:14" x14ac:dyDescent="0.25">
      <c r="A2498" s="1">
        <v>46091</v>
      </c>
      <c r="B2498">
        <v>2</v>
      </c>
      <c r="C2498" t="s">
        <v>542</v>
      </c>
      <c r="D2498" t="s">
        <v>336</v>
      </c>
      <c r="E2498" t="s">
        <v>337</v>
      </c>
      <c r="F2498" t="s">
        <v>41</v>
      </c>
      <c r="G2498" t="s">
        <v>13</v>
      </c>
      <c r="I2498" s="42">
        <v>746.99</v>
      </c>
      <c r="J2498" s="42"/>
      <c r="K2498" s="42"/>
      <c r="L2498" s="42">
        <v>746.99</v>
      </c>
      <c r="N2498" s="42"/>
    </row>
    <row r="2499" spans="1:14" x14ac:dyDescent="0.25">
      <c r="A2499" s="1">
        <v>46091</v>
      </c>
      <c r="B2499">
        <v>2</v>
      </c>
      <c r="C2499" t="s">
        <v>541</v>
      </c>
      <c r="D2499" t="s">
        <v>10</v>
      </c>
      <c r="E2499" t="s">
        <v>724</v>
      </c>
      <c r="F2499" t="s">
        <v>178</v>
      </c>
      <c r="G2499" t="s">
        <v>725</v>
      </c>
      <c r="I2499" s="42">
        <v>849.99</v>
      </c>
      <c r="J2499" s="42"/>
      <c r="K2499" s="42"/>
      <c r="L2499" s="42">
        <v>1344.99</v>
      </c>
      <c r="N2499" s="42">
        <v>849.99</v>
      </c>
    </row>
    <row r="2500" spans="1:14" x14ac:dyDescent="0.25">
      <c r="A2500" s="1">
        <v>46091</v>
      </c>
      <c r="B2500">
        <v>2</v>
      </c>
      <c r="C2500" t="s">
        <v>541</v>
      </c>
      <c r="D2500" t="s">
        <v>10</v>
      </c>
      <c r="E2500" t="s">
        <v>726</v>
      </c>
      <c r="F2500" t="s">
        <v>119</v>
      </c>
      <c r="G2500" t="s">
        <v>727</v>
      </c>
      <c r="I2500" s="42">
        <v>991.99</v>
      </c>
      <c r="J2500" s="42"/>
      <c r="K2500" s="42"/>
      <c r="L2500" s="42">
        <v>1200</v>
      </c>
      <c r="N2500" s="42">
        <v>991.99</v>
      </c>
    </row>
    <row r="2501" spans="1:14" x14ac:dyDescent="0.25">
      <c r="A2501" s="1">
        <v>46091</v>
      </c>
      <c r="B2501">
        <v>2</v>
      </c>
      <c r="C2501" t="s">
        <v>541</v>
      </c>
      <c r="D2501" t="s">
        <v>10</v>
      </c>
      <c r="E2501" t="s">
        <v>728</v>
      </c>
      <c r="F2501" t="s">
        <v>28</v>
      </c>
      <c r="G2501" t="s">
        <v>261</v>
      </c>
      <c r="I2501" s="42">
        <v>931.99</v>
      </c>
      <c r="J2501" s="42"/>
      <c r="K2501" s="42"/>
      <c r="L2501" s="42">
        <v>1426.99</v>
      </c>
      <c r="N2501" s="42">
        <v>931.99</v>
      </c>
    </row>
    <row r="2502" spans="1:14" x14ac:dyDescent="0.25">
      <c r="A2502" s="1">
        <v>46091</v>
      </c>
      <c r="B2502">
        <v>2</v>
      </c>
      <c r="C2502" t="s">
        <v>542</v>
      </c>
      <c r="D2502" t="s">
        <v>336</v>
      </c>
      <c r="E2502" t="s">
        <v>338</v>
      </c>
      <c r="F2502" t="s">
        <v>55</v>
      </c>
      <c r="G2502" t="s">
        <v>13</v>
      </c>
      <c r="I2502" s="42">
        <v>746.99</v>
      </c>
      <c r="J2502" s="42"/>
      <c r="K2502" s="42"/>
      <c r="L2502" s="42">
        <v>746.99</v>
      </c>
      <c r="N2502" s="42"/>
    </row>
    <row r="2503" spans="1:14" x14ac:dyDescent="0.25">
      <c r="A2503" s="1">
        <v>46098</v>
      </c>
      <c r="B2503">
        <v>3</v>
      </c>
      <c r="C2503" t="s">
        <v>541</v>
      </c>
      <c r="D2503" t="s">
        <v>10</v>
      </c>
      <c r="E2503" t="s">
        <v>51</v>
      </c>
      <c r="F2503" t="s">
        <v>52</v>
      </c>
      <c r="G2503" t="s">
        <v>13</v>
      </c>
      <c r="I2503" s="42">
        <v>1251.99</v>
      </c>
      <c r="J2503" s="42"/>
      <c r="K2503" s="42"/>
      <c r="L2503" s="42">
        <v>1251.99</v>
      </c>
      <c r="N2503" s="42">
        <v>1251.99</v>
      </c>
    </row>
    <row r="2504" spans="1:14" x14ac:dyDescent="0.25">
      <c r="A2504" s="1">
        <v>46098</v>
      </c>
      <c r="B2504">
        <v>3</v>
      </c>
      <c r="C2504" t="s">
        <v>541</v>
      </c>
      <c r="D2504" t="s">
        <v>10</v>
      </c>
      <c r="E2504" t="s">
        <v>305</v>
      </c>
      <c r="F2504" t="s">
        <v>41</v>
      </c>
      <c r="G2504" t="s">
        <v>111</v>
      </c>
      <c r="I2504" s="42">
        <v>746.99</v>
      </c>
      <c r="J2504" s="42">
        <v>30</v>
      </c>
      <c r="K2504" s="42"/>
      <c r="L2504" s="42">
        <v>776.99</v>
      </c>
      <c r="N2504" s="42">
        <v>776.99</v>
      </c>
    </row>
    <row r="2505" spans="1:14" x14ac:dyDescent="0.25">
      <c r="A2505" s="1">
        <v>46098</v>
      </c>
      <c r="B2505">
        <v>3</v>
      </c>
      <c r="C2505" t="s">
        <v>541</v>
      </c>
      <c r="D2505" t="s">
        <v>10</v>
      </c>
      <c r="E2505" t="s">
        <v>75</v>
      </c>
      <c r="F2505" t="s">
        <v>76</v>
      </c>
      <c r="G2505" t="s">
        <v>77</v>
      </c>
      <c r="I2505" s="42">
        <v>1451.99</v>
      </c>
      <c r="J2505" s="42">
        <v>30</v>
      </c>
      <c r="K2505" s="42"/>
      <c r="L2505" s="42">
        <v>1481.99</v>
      </c>
      <c r="N2505" s="42">
        <v>1481.99</v>
      </c>
    </row>
    <row r="2506" spans="1:14" x14ac:dyDescent="0.25">
      <c r="A2506" s="1">
        <v>46098</v>
      </c>
      <c r="B2506">
        <v>3</v>
      </c>
      <c r="C2506" t="s">
        <v>541</v>
      </c>
      <c r="D2506" t="s">
        <v>10</v>
      </c>
      <c r="E2506" t="s">
        <v>11</v>
      </c>
      <c r="F2506" t="s">
        <v>12</v>
      </c>
      <c r="G2506" t="s">
        <v>13</v>
      </c>
      <c r="I2506" s="42">
        <v>746.99</v>
      </c>
      <c r="J2506" s="42"/>
      <c r="K2506" s="42">
        <v>1.99</v>
      </c>
      <c r="L2506" s="42">
        <v>745</v>
      </c>
      <c r="N2506" s="42">
        <v>745</v>
      </c>
    </row>
    <row r="2507" spans="1:14" x14ac:dyDescent="0.25">
      <c r="A2507" s="1">
        <v>46098</v>
      </c>
      <c r="B2507">
        <v>3</v>
      </c>
      <c r="C2507" t="s">
        <v>541</v>
      </c>
      <c r="D2507" t="s">
        <v>10</v>
      </c>
      <c r="E2507" t="s">
        <v>15</v>
      </c>
      <c r="F2507" t="s">
        <v>16</v>
      </c>
      <c r="G2507" t="s">
        <v>13</v>
      </c>
      <c r="I2507" s="42">
        <v>1251.99</v>
      </c>
      <c r="J2507" s="42"/>
      <c r="K2507" s="42">
        <v>1.99</v>
      </c>
      <c r="L2507" s="42">
        <v>1250</v>
      </c>
      <c r="N2507" s="42">
        <v>1250</v>
      </c>
    </row>
    <row r="2508" spans="1:14" x14ac:dyDescent="0.25">
      <c r="A2508" s="1">
        <v>46098</v>
      </c>
      <c r="B2508">
        <v>3</v>
      </c>
      <c r="C2508" t="s">
        <v>541</v>
      </c>
      <c r="D2508" t="s">
        <v>10</v>
      </c>
      <c r="E2508" t="s">
        <v>18</v>
      </c>
      <c r="F2508" t="s">
        <v>12</v>
      </c>
      <c r="G2508" t="s">
        <v>13</v>
      </c>
      <c r="I2508" s="42">
        <v>746.99</v>
      </c>
      <c r="J2508" s="42"/>
      <c r="K2508" s="42">
        <v>1.99</v>
      </c>
      <c r="L2508" s="42">
        <v>745</v>
      </c>
      <c r="N2508" s="42">
        <v>745</v>
      </c>
    </row>
    <row r="2509" spans="1:14" x14ac:dyDescent="0.25">
      <c r="A2509" s="1">
        <v>46098</v>
      </c>
      <c r="B2509">
        <v>3</v>
      </c>
      <c r="C2509" t="s">
        <v>541</v>
      </c>
      <c r="D2509" t="s">
        <v>10</v>
      </c>
      <c r="E2509" t="s">
        <v>20</v>
      </c>
      <c r="F2509" t="s">
        <v>21</v>
      </c>
      <c r="G2509" t="s">
        <v>22</v>
      </c>
      <c r="I2509" s="42">
        <v>651.99</v>
      </c>
      <c r="J2509" s="42"/>
      <c r="K2509" s="42"/>
      <c r="L2509" s="42">
        <v>651.99</v>
      </c>
      <c r="N2509" s="42"/>
    </row>
    <row r="2510" spans="1:14" x14ac:dyDescent="0.25">
      <c r="A2510" s="1">
        <v>46098</v>
      </c>
      <c r="B2510">
        <v>3</v>
      </c>
      <c r="C2510" t="s">
        <v>541</v>
      </c>
      <c r="D2510" t="s">
        <v>10</v>
      </c>
      <c r="E2510" t="s">
        <v>27</v>
      </c>
      <c r="F2510" t="s">
        <v>28</v>
      </c>
      <c r="G2510" t="s">
        <v>13</v>
      </c>
      <c r="I2510" s="42">
        <v>931.99</v>
      </c>
      <c r="J2510" s="42"/>
      <c r="K2510" s="42">
        <v>1.99</v>
      </c>
      <c r="L2510" s="42">
        <v>930</v>
      </c>
      <c r="N2510" s="42">
        <v>930</v>
      </c>
    </row>
    <row r="2511" spans="1:14" x14ac:dyDescent="0.25">
      <c r="A2511" s="1">
        <v>46098</v>
      </c>
      <c r="B2511">
        <v>3</v>
      </c>
      <c r="C2511" t="s">
        <v>541</v>
      </c>
      <c r="D2511" t="s">
        <v>10</v>
      </c>
      <c r="E2511" t="s">
        <v>32</v>
      </c>
      <c r="F2511" t="s">
        <v>33</v>
      </c>
      <c r="G2511" t="s">
        <v>13</v>
      </c>
      <c r="I2511" s="42">
        <v>851.99</v>
      </c>
      <c r="J2511" s="42"/>
      <c r="K2511" s="42"/>
      <c r="L2511" s="42">
        <v>851.99</v>
      </c>
      <c r="N2511" s="42">
        <v>851.99</v>
      </c>
    </row>
    <row r="2512" spans="1:14" x14ac:dyDescent="0.25">
      <c r="A2512" s="1">
        <v>46098</v>
      </c>
      <c r="B2512">
        <v>3</v>
      </c>
      <c r="C2512" t="s">
        <v>541</v>
      </c>
      <c r="D2512" t="s">
        <v>10</v>
      </c>
      <c r="E2512" t="s">
        <v>36</v>
      </c>
      <c r="F2512" t="s">
        <v>37</v>
      </c>
      <c r="G2512" t="s">
        <v>38</v>
      </c>
      <c r="I2512" s="42">
        <v>746.99</v>
      </c>
      <c r="J2512" s="42"/>
      <c r="K2512" s="42">
        <v>1.99</v>
      </c>
      <c r="L2512" s="42">
        <v>745</v>
      </c>
      <c r="N2512" s="42">
        <v>745</v>
      </c>
    </row>
    <row r="2513" spans="1:14" x14ac:dyDescent="0.25">
      <c r="A2513" s="1">
        <v>46098</v>
      </c>
      <c r="B2513">
        <v>3</v>
      </c>
      <c r="C2513" t="s">
        <v>541</v>
      </c>
      <c r="D2513" t="s">
        <v>10</v>
      </c>
      <c r="E2513" t="s">
        <v>40</v>
      </c>
      <c r="F2513" t="s">
        <v>41</v>
      </c>
      <c r="G2513" t="s">
        <v>42</v>
      </c>
      <c r="I2513" s="42">
        <v>746.99</v>
      </c>
      <c r="J2513" s="42"/>
      <c r="K2513" s="42">
        <v>1.99</v>
      </c>
      <c r="L2513" s="42">
        <v>745</v>
      </c>
      <c r="N2513" s="42">
        <v>745</v>
      </c>
    </row>
    <row r="2514" spans="1:14" x14ac:dyDescent="0.25">
      <c r="A2514" s="1">
        <v>46098</v>
      </c>
      <c r="B2514">
        <v>3</v>
      </c>
      <c r="C2514" t="s">
        <v>541</v>
      </c>
      <c r="D2514" t="s">
        <v>10</v>
      </c>
      <c r="E2514" t="s">
        <v>44</v>
      </c>
      <c r="F2514" t="s">
        <v>12</v>
      </c>
      <c r="G2514" t="s">
        <v>13</v>
      </c>
      <c r="I2514" s="42">
        <v>746.99</v>
      </c>
      <c r="J2514" s="42">
        <v>3.01</v>
      </c>
      <c r="K2514" s="42"/>
      <c r="L2514" s="42">
        <v>750</v>
      </c>
      <c r="N2514" s="42">
        <v>750</v>
      </c>
    </row>
    <row r="2515" spans="1:14" x14ac:dyDescent="0.25">
      <c r="A2515" s="1">
        <v>46098</v>
      </c>
      <c r="B2515">
        <v>3</v>
      </c>
      <c r="C2515" t="s">
        <v>541</v>
      </c>
      <c r="D2515" t="s">
        <v>10</v>
      </c>
      <c r="E2515" t="s">
        <v>54</v>
      </c>
      <c r="F2515" t="s">
        <v>55</v>
      </c>
      <c r="G2515" t="s">
        <v>56</v>
      </c>
      <c r="I2515" s="42">
        <v>746.99</v>
      </c>
      <c r="J2515" s="42">
        <v>93.01</v>
      </c>
      <c r="K2515" s="42"/>
      <c r="L2515" s="42">
        <v>840</v>
      </c>
      <c r="N2515" s="42">
        <v>840</v>
      </c>
    </row>
    <row r="2516" spans="1:14" x14ac:dyDescent="0.25">
      <c r="A2516" s="1">
        <v>46098</v>
      </c>
      <c r="B2516">
        <v>3</v>
      </c>
      <c r="C2516" t="s">
        <v>541</v>
      </c>
      <c r="D2516" t="s">
        <v>10</v>
      </c>
      <c r="E2516" t="s">
        <v>58</v>
      </c>
      <c r="F2516" t="s">
        <v>37</v>
      </c>
      <c r="G2516" t="s">
        <v>38</v>
      </c>
      <c r="I2516" s="42">
        <v>746.99</v>
      </c>
      <c r="J2516" s="42"/>
      <c r="K2516" s="42"/>
      <c r="L2516" s="42">
        <v>746.99</v>
      </c>
      <c r="N2516" s="42">
        <v>746.99</v>
      </c>
    </row>
    <row r="2517" spans="1:14" x14ac:dyDescent="0.25">
      <c r="A2517" s="1">
        <v>46098</v>
      </c>
      <c r="B2517">
        <v>3</v>
      </c>
      <c r="C2517" t="s">
        <v>541</v>
      </c>
      <c r="D2517" t="s">
        <v>10</v>
      </c>
      <c r="E2517" t="s">
        <v>60</v>
      </c>
      <c r="F2517" t="s">
        <v>52</v>
      </c>
      <c r="G2517" t="s">
        <v>38</v>
      </c>
      <c r="I2517" s="42">
        <v>1251.99</v>
      </c>
      <c r="J2517" s="42"/>
      <c r="K2517" s="42"/>
      <c r="L2517" s="42">
        <v>1251.99</v>
      </c>
      <c r="N2517" s="42">
        <v>1251.99</v>
      </c>
    </row>
    <row r="2518" spans="1:14" x14ac:dyDescent="0.25">
      <c r="A2518" s="1">
        <v>46098</v>
      </c>
      <c r="B2518">
        <v>3</v>
      </c>
      <c r="C2518" t="s">
        <v>541</v>
      </c>
      <c r="D2518" t="s">
        <v>10</v>
      </c>
      <c r="E2518" t="s">
        <v>62</v>
      </c>
      <c r="F2518" t="s">
        <v>12</v>
      </c>
      <c r="G2518" t="s">
        <v>13</v>
      </c>
      <c r="I2518" s="42">
        <v>746.99</v>
      </c>
      <c r="J2518" s="42"/>
      <c r="K2518" s="42"/>
      <c r="L2518" s="42">
        <v>746.99</v>
      </c>
      <c r="N2518" s="42">
        <v>746.99</v>
      </c>
    </row>
    <row r="2519" spans="1:14" x14ac:dyDescent="0.25">
      <c r="A2519" s="1">
        <v>46098</v>
      </c>
      <c r="B2519">
        <v>3</v>
      </c>
      <c r="C2519" t="s">
        <v>541</v>
      </c>
      <c r="D2519" t="s">
        <v>10</v>
      </c>
      <c r="E2519" t="s">
        <v>64</v>
      </c>
      <c r="F2519" t="s">
        <v>65</v>
      </c>
      <c r="G2519" t="s">
        <v>66</v>
      </c>
      <c r="I2519" s="42">
        <v>1381.99</v>
      </c>
      <c r="J2519" s="42">
        <v>30</v>
      </c>
      <c r="K2519" s="42"/>
      <c r="L2519" s="42">
        <v>1411.99</v>
      </c>
      <c r="N2519" s="42">
        <v>1411.99</v>
      </c>
    </row>
    <row r="2520" spans="1:14" x14ac:dyDescent="0.25">
      <c r="A2520" s="1">
        <v>46098</v>
      </c>
      <c r="B2520">
        <v>3</v>
      </c>
      <c r="C2520" t="s">
        <v>541</v>
      </c>
      <c r="D2520" t="s">
        <v>10</v>
      </c>
      <c r="E2520" t="s">
        <v>68</v>
      </c>
      <c r="F2520" t="s">
        <v>69</v>
      </c>
      <c r="G2520" t="s">
        <v>70</v>
      </c>
      <c r="I2520" s="42">
        <v>801.99</v>
      </c>
      <c r="J2520" s="42"/>
      <c r="K2520" s="42">
        <v>0.99</v>
      </c>
      <c r="L2520" s="42">
        <v>801</v>
      </c>
      <c r="N2520" s="42">
        <v>801</v>
      </c>
    </row>
    <row r="2521" spans="1:14" x14ac:dyDescent="0.25">
      <c r="A2521" s="1">
        <v>46098</v>
      </c>
      <c r="B2521">
        <v>3</v>
      </c>
      <c r="C2521" t="s">
        <v>541</v>
      </c>
      <c r="D2521" t="s">
        <v>10</v>
      </c>
      <c r="E2521" t="s">
        <v>72</v>
      </c>
      <c r="F2521" t="s">
        <v>73</v>
      </c>
      <c r="G2521" t="s">
        <v>13</v>
      </c>
      <c r="I2521" s="42">
        <v>1850</v>
      </c>
      <c r="J2521" s="42"/>
      <c r="K2521" s="42"/>
      <c r="L2521" s="42">
        <v>1850</v>
      </c>
      <c r="N2521" s="42">
        <v>1850</v>
      </c>
    </row>
    <row r="2522" spans="1:14" x14ac:dyDescent="0.25">
      <c r="A2522" s="1">
        <v>46098</v>
      </c>
      <c r="B2522">
        <v>3</v>
      </c>
      <c r="C2522" t="s">
        <v>542</v>
      </c>
      <c r="D2522" t="s">
        <v>99</v>
      </c>
      <c r="E2522" t="s">
        <v>881</v>
      </c>
      <c r="F2522" t="s">
        <v>52</v>
      </c>
      <c r="G2522" t="s">
        <v>13</v>
      </c>
      <c r="I2522" s="42"/>
      <c r="J2522" s="42"/>
      <c r="K2522" s="42"/>
      <c r="L2522" s="42"/>
      <c r="N2522" s="42"/>
    </row>
    <row r="2523" spans="1:14" x14ac:dyDescent="0.25">
      <c r="A2523" s="1">
        <v>46098</v>
      </c>
      <c r="B2523">
        <v>3</v>
      </c>
      <c r="C2523" t="s">
        <v>541</v>
      </c>
      <c r="D2523" t="s">
        <v>10</v>
      </c>
      <c r="E2523" t="s">
        <v>882</v>
      </c>
      <c r="F2523" t="s">
        <v>28</v>
      </c>
      <c r="G2523" t="s">
        <v>77</v>
      </c>
      <c r="I2523" s="42">
        <v>931.99</v>
      </c>
      <c r="J2523" s="42"/>
      <c r="K2523" s="42"/>
      <c r="L2523" s="42">
        <v>1526.99</v>
      </c>
      <c r="N2523" s="42">
        <v>931.99</v>
      </c>
    </row>
    <row r="2524" spans="1:14" x14ac:dyDescent="0.25">
      <c r="A2524" s="1">
        <v>46098</v>
      </c>
      <c r="B2524">
        <v>3</v>
      </c>
      <c r="C2524" t="s">
        <v>541</v>
      </c>
      <c r="D2524" t="s">
        <v>10</v>
      </c>
      <c r="E2524" t="s">
        <v>79</v>
      </c>
      <c r="F2524" t="s">
        <v>76</v>
      </c>
      <c r="G2524" t="s">
        <v>77</v>
      </c>
      <c r="I2524" s="42">
        <v>1451.99</v>
      </c>
      <c r="J2524" s="42"/>
      <c r="K2524" s="42"/>
      <c r="L2524" s="42">
        <v>1451.99</v>
      </c>
      <c r="N2524" s="42">
        <v>1451.99</v>
      </c>
    </row>
    <row r="2525" spans="1:14" x14ac:dyDescent="0.25">
      <c r="A2525" s="1">
        <v>46098</v>
      </c>
      <c r="B2525">
        <v>3</v>
      </c>
      <c r="C2525" t="s">
        <v>541</v>
      </c>
      <c r="D2525" t="s">
        <v>10</v>
      </c>
      <c r="E2525" t="s">
        <v>46</v>
      </c>
      <c r="F2525" t="s">
        <v>12</v>
      </c>
      <c r="G2525" t="s">
        <v>13</v>
      </c>
      <c r="I2525" s="42">
        <v>746.99</v>
      </c>
      <c r="J2525" s="42">
        <v>0.01</v>
      </c>
      <c r="K2525" s="42"/>
      <c r="L2525" s="42">
        <v>747</v>
      </c>
      <c r="N2525" s="42">
        <v>747</v>
      </c>
    </row>
    <row r="2526" spans="1:14" x14ac:dyDescent="0.25">
      <c r="A2526" s="1">
        <v>46098</v>
      </c>
      <c r="B2526">
        <v>3</v>
      </c>
      <c r="C2526" t="s">
        <v>542</v>
      </c>
      <c r="D2526" t="s">
        <v>336</v>
      </c>
      <c r="E2526" t="s">
        <v>288</v>
      </c>
      <c r="F2526" t="s">
        <v>55</v>
      </c>
      <c r="G2526" t="s">
        <v>104</v>
      </c>
      <c r="I2526" s="42">
        <v>746.99</v>
      </c>
      <c r="J2526" s="42"/>
      <c r="K2526" s="42"/>
      <c r="L2526" s="42">
        <v>746.99</v>
      </c>
      <c r="N2526" s="42"/>
    </row>
    <row r="2527" spans="1:14" x14ac:dyDescent="0.25">
      <c r="A2527" s="1">
        <v>46098</v>
      </c>
      <c r="B2527">
        <v>3</v>
      </c>
      <c r="C2527" t="s">
        <v>541</v>
      </c>
      <c r="D2527" t="s">
        <v>10</v>
      </c>
      <c r="E2527" t="s">
        <v>300</v>
      </c>
      <c r="F2527" t="s">
        <v>301</v>
      </c>
      <c r="G2527" t="s">
        <v>104</v>
      </c>
      <c r="I2527" s="42">
        <v>746.99</v>
      </c>
      <c r="J2527" s="42"/>
      <c r="K2527" s="42"/>
      <c r="L2527" s="42">
        <v>746.99</v>
      </c>
      <c r="N2527" s="42">
        <v>746.99</v>
      </c>
    </row>
    <row r="2528" spans="1:14" x14ac:dyDescent="0.25">
      <c r="A2528" s="1">
        <v>46098</v>
      </c>
      <c r="B2528">
        <v>3</v>
      </c>
      <c r="C2528" t="s">
        <v>541</v>
      </c>
      <c r="D2528" t="s">
        <v>10</v>
      </c>
      <c r="E2528" t="s">
        <v>327</v>
      </c>
      <c r="F2528" t="s">
        <v>158</v>
      </c>
      <c r="G2528" t="s">
        <v>22</v>
      </c>
      <c r="I2528" s="42">
        <v>746.99</v>
      </c>
      <c r="J2528" s="42"/>
      <c r="K2528" s="42"/>
      <c r="L2528" s="42">
        <v>746.99</v>
      </c>
      <c r="N2528" s="42">
        <v>746.99</v>
      </c>
    </row>
    <row r="2529" spans="1:14" x14ac:dyDescent="0.25">
      <c r="A2529" s="1">
        <v>46098</v>
      </c>
      <c r="B2529">
        <v>3</v>
      </c>
      <c r="C2529" t="s">
        <v>541</v>
      </c>
      <c r="D2529" t="s">
        <v>10</v>
      </c>
      <c r="E2529" t="s">
        <v>321</v>
      </c>
      <c r="F2529" t="s">
        <v>158</v>
      </c>
      <c r="G2529" t="s">
        <v>13</v>
      </c>
      <c r="I2529" s="42">
        <v>746.99</v>
      </c>
      <c r="J2529" s="42">
        <v>3.01</v>
      </c>
      <c r="K2529" s="42"/>
      <c r="L2529" s="42">
        <v>750</v>
      </c>
      <c r="N2529" s="42">
        <v>750</v>
      </c>
    </row>
    <row r="2530" spans="1:14" x14ac:dyDescent="0.25">
      <c r="A2530" s="1">
        <v>46098</v>
      </c>
      <c r="B2530">
        <v>3</v>
      </c>
      <c r="C2530" t="s">
        <v>542</v>
      </c>
      <c r="D2530" t="s">
        <v>89</v>
      </c>
      <c r="E2530" t="s">
        <v>322</v>
      </c>
      <c r="F2530" t="s">
        <v>158</v>
      </c>
      <c r="G2530" t="s">
        <v>13</v>
      </c>
      <c r="I2530" s="42">
        <v>746.99</v>
      </c>
      <c r="J2530" s="42"/>
      <c r="K2530" s="42"/>
      <c r="L2530" s="42">
        <v>746.99</v>
      </c>
      <c r="N2530" s="42"/>
    </row>
    <row r="2531" spans="1:14" x14ac:dyDescent="0.25">
      <c r="A2531" s="1">
        <v>46098</v>
      </c>
      <c r="B2531">
        <v>3</v>
      </c>
      <c r="C2531" t="s">
        <v>541</v>
      </c>
      <c r="D2531" t="s">
        <v>10</v>
      </c>
      <c r="E2531" t="s">
        <v>310</v>
      </c>
      <c r="F2531" t="s">
        <v>28</v>
      </c>
      <c r="G2531" t="s">
        <v>13</v>
      </c>
      <c r="I2531" s="42">
        <v>931.99</v>
      </c>
      <c r="J2531" s="42"/>
      <c r="K2531" s="42"/>
      <c r="L2531" s="42">
        <v>931.99</v>
      </c>
      <c r="N2531" s="42">
        <v>931.99</v>
      </c>
    </row>
    <row r="2532" spans="1:14" x14ac:dyDescent="0.25">
      <c r="A2532" s="1">
        <v>46098</v>
      </c>
      <c r="B2532">
        <v>3</v>
      </c>
      <c r="C2532" t="s">
        <v>541</v>
      </c>
      <c r="D2532" t="s">
        <v>10</v>
      </c>
      <c r="E2532" t="s">
        <v>303</v>
      </c>
      <c r="F2532" t="s">
        <v>33</v>
      </c>
      <c r="G2532" t="s">
        <v>13</v>
      </c>
      <c r="I2532" s="42">
        <v>851.99</v>
      </c>
      <c r="J2532" s="42">
        <v>60</v>
      </c>
      <c r="K2532" s="42"/>
      <c r="L2532" s="42">
        <v>911.99</v>
      </c>
      <c r="N2532" s="42">
        <v>911.99</v>
      </c>
    </row>
    <row r="2533" spans="1:14" x14ac:dyDescent="0.25">
      <c r="A2533" s="1">
        <v>46098</v>
      </c>
      <c r="B2533">
        <v>3</v>
      </c>
      <c r="C2533" t="s">
        <v>541</v>
      </c>
      <c r="D2533" t="s">
        <v>10</v>
      </c>
      <c r="E2533" t="s">
        <v>281</v>
      </c>
      <c r="F2533" t="s">
        <v>55</v>
      </c>
      <c r="G2533" t="s">
        <v>56</v>
      </c>
      <c r="I2533" s="42">
        <v>746.99</v>
      </c>
      <c r="J2533" s="42"/>
      <c r="K2533" s="42"/>
      <c r="L2533" s="42">
        <v>746.99</v>
      </c>
      <c r="N2533" s="42">
        <v>746.99</v>
      </c>
    </row>
    <row r="2534" spans="1:14" x14ac:dyDescent="0.25">
      <c r="A2534" s="1">
        <v>46098</v>
      </c>
      <c r="B2534">
        <v>3</v>
      </c>
      <c r="C2534" t="s">
        <v>541</v>
      </c>
      <c r="D2534" t="s">
        <v>10</v>
      </c>
      <c r="E2534" t="s">
        <v>137</v>
      </c>
      <c r="F2534" t="s">
        <v>12</v>
      </c>
      <c r="G2534" t="s">
        <v>13</v>
      </c>
      <c r="I2534" s="42">
        <v>746.99</v>
      </c>
      <c r="J2534" s="42"/>
      <c r="K2534" s="42"/>
      <c r="L2534" s="42">
        <v>746.99</v>
      </c>
      <c r="N2534" s="42">
        <v>746.99</v>
      </c>
    </row>
    <row r="2535" spans="1:14" x14ac:dyDescent="0.25">
      <c r="A2535" s="1">
        <v>46098</v>
      </c>
      <c r="B2535">
        <v>3</v>
      </c>
      <c r="C2535" t="s">
        <v>541</v>
      </c>
      <c r="D2535" t="s">
        <v>10</v>
      </c>
      <c r="E2535" t="s">
        <v>726</v>
      </c>
      <c r="F2535" t="s">
        <v>119</v>
      </c>
      <c r="G2535" t="s">
        <v>727</v>
      </c>
      <c r="I2535" s="42">
        <v>991.99</v>
      </c>
      <c r="J2535" s="42"/>
      <c r="K2535" s="42"/>
      <c r="L2535" s="42">
        <v>991.99</v>
      </c>
      <c r="N2535" s="42">
        <v>991.99</v>
      </c>
    </row>
    <row r="2536" spans="1:14" x14ac:dyDescent="0.25">
      <c r="A2536" s="1">
        <v>46098</v>
      </c>
      <c r="B2536">
        <v>3</v>
      </c>
      <c r="C2536" t="s">
        <v>541</v>
      </c>
      <c r="D2536" t="s">
        <v>10</v>
      </c>
      <c r="E2536" t="s">
        <v>728</v>
      </c>
      <c r="F2536" t="s">
        <v>28</v>
      </c>
      <c r="G2536" t="s">
        <v>261</v>
      </c>
      <c r="I2536" s="42">
        <v>931.99</v>
      </c>
      <c r="J2536" s="42"/>
      <c r="K2536" s="42"/>
      <c r="L2536" s="42">
        <v>931.99</v>
      </c>
      <c r="N2536" s="42">
        <v>931.99</v>
      </c>
    </row>
    <row r="2537" spans="1:14" x14ac:dyDescent="0.25">
      <c r="A2537" s="1">
        <v>46098</v>
      </c>
      <c r="B2537">
        <v>3</v>
      </c>
      <c r="C2537" t="s">
        <v>541</v>
      </c>
      <c r="D2537" t="s">
        <v>10</v>
      </c>
      <c r="E2537" t="s">
        <v>81</v>
      </c>
      <c r="F2537" t="s">
        <v>12</v>
      </c>
      <c r="G2537" t="s">
        <v>13</v>
      </c>
      <c r="I2537" s="42">
        <v>746.99</v>
      </c>
      <c r="J2537" s="42"/>
      <c r="K2537" s="42"/>
      <c r="L2537" s="42">
        <v>1241.99</v>
      </c>
      <c r="N2537" s="42">
        <v>746.99</v>
      </c>
    </row>
    <row r="2538" spans="1:14" x14ac:dyDescent="0.25">
      <c r="A2538" s="1">
        <v>46098</v>
      </c>
      <c r="B2538">
        <v>3</v>
      </c>
      <c r="C2538" t="s">
        <v>541</v>
      </c>
      <c r="D2538" t="s">
        <v>10</v>
      </c>
      <c r="E2538" t="s">
        <v>83</v>
      </c>
      <c r="F2538" t="s">
        <v>41</v>
      </c>
      <c r="G2538" t="s">
        <v>13</v>
      </c>
      <c r="I2538" s="42">
        <v>746.99</v>
      </c>
      <c r="J2538" s="42"/>
      <c r="K2538" s="42">
        <v>1.99</v>
      </c>
      <c r="L2538" s="42">
        <v>745</v>
      </c>
      <c r="N2538" s="42">
        <v>745</v>
      </c>
    </row>
    <row r="2539" spans="1:14" x14ac:dyDescent="0.25">
      <c r="A2539" s="1">
        <v>46098</v>
      </c>
      <c r="B2539">
        <v>3</v>
      </c>
      <c r="C2539" t="s">
        <v>541</v>
      </c>
      <c r="D2539" t="s">
        <v>10</v>
      </c>
      <c r="E2539" t="s">
        <v>85</v>
      </c>
      <c r="F2539" t="s">
        <v>28</v>
      </c>
      <c r="G2539" t="s">
        <v>66</v>
      </c>
      <c r="I2539" s="42">
        <v>931.99</v>
      </c>
      <c r="J2539" s="42"/>
      <c r="K2539" s="42"/>
      <c r="L2539" s="42">
        <v>931.99</v>
      </c>
      <c r="N2539" s="42">
        <v>931.99</v>
      </c>
    </row>
    <row r="2540" spans="1:14" x14ac:dyDescent="0.25">
      <c r="A2540" s="1">
        <v>46098</v>
      </c>
      <c r="B2540">
        <v>3</v>
      </c>
      <c r="C2540" t="s">
        <v>541</v>
      </c>
      <c r="D2540" t="s">
        <v>10</v>
      </c>
      <c r="E2540" t="s">
        <v>87</v>
      </c>
      <c r="F2540" t="s">
        <v>28</v>
      </c>
      <c r="G2540" t="s">
        <v>13</v>
      </c>
      <c r="I2540" s="42">
        <v>931.99</v>
      </c>
      <c r="J2540" s="42"/>
      <c r="K2540" s="42">
        <v>1.99</v>
      </c>
      <c r="L2540" s="42">
        <v>930</v>
      </c>
      <c r="N2540" s="42">
        <v>930</v>
      </c>
    </row>
    <row r="2541" spans="1:14" x14ac:dyDescent="0.25">
      <c r="A2541" s="1">
        <v>46098</v>
      </c>
      <c r="B2541">
        <v>3</v>
      </c>
      <c r="C2541" t="s">
        <v>541</v>
      </c>
      <c r="D2541" t="s">
        <v>10</v>
      </c>
      <c r="E2541" t="s">
        <v>90</v>
      </c>
      <c r="F2541" t="s">
        <v>91</v>
      </c>
      <c r="G2541" t="s">
        <v>22</v>
      </c>
      <c r="I2541" s="42">
        <v>550</v>
      </c>
      <c r="J2541" s="42"/>
      <c r="K2541" s="42"/>
      <c r="L2541" s="42">
        <v>550</v>
      </c>
      <c r="N2541" s="42">
        <v>550</v>
      </c>
    </row>
    <row r="2542" spans="1:14" x14ac:dyDescent="0.25">
      <c r="A2542" s="1">
        <v>46098</v>
      </c>
      <c r="B2542">
        <v>3</v>
      </c>
      <c r="C2542" t="s">
        <v>542</v>
      </c>
      <c r="D2542" t="s">
        <v>336</v>
      </c>
      <c r="E2542" t="s">
        <v>102</v>
      </c>
      <c r="F2542" t="s">
        <v>103</v>
      </c>
      <c r="G2542" t="s">
        <v>104</v>
      </c>
      <c r="I2542" s="42">
        <v>801.99</v>
      </c>
      <c r="J2542" s="42"/>
      <c r="K2542" s="42"/>
      <c r="L2542" s="42">
        <v>801.99</v>
      </c>
      <c r="N2542" s="42"/>
    </row>
    <row r="2543" spans="1:14" x14ac:dyDescent="0.25">
      <c r="A2543" s="1">
        <v>46098</v>
      </c>
      <c r="B2543">
        <v>3</v>
      </c>
      <c r="C2543" t="s">
        <v>541</v>
      </c>
      <c r="D2543" t="s">
        <v>10</v>
      </c>
      <c r="E2543" t="s">
        <v>110</v>
      </c>
      <c r="F2543" t="s">
        <v>55</v>
      </c>
      <c r="G2543" t="s">
        <v>111</v>
      </c>
      <c r="I2543" s="42">
        <v>746.99</v>
      </c>
      <c r="J2543" s="42">
        <v>0.01</v>
      </c>
      <c r="K2543" s="42"/>
      <c r="L2543" s="42">
        <v>747</v>
      </c>
      <c r="N2543" s="42">
        <v>747</v>
      </c>
    </row>
    <row r="2544" spans="1:14" x14ac:dyDescent="0.25">
      <c r="A2544" s="1">
        <v>46098</v>
      </c>
      <c r="B2544">
        <v>3</v>
      </c>
      <c r="C2544" t="s">
        <v>541</v>
      </c>
      <c r="D2544" t="s">
        <v>10</v>
      </c>
      <c r="E2544" t="s">
        <v>113</v>
      </c>
      <c r="F2544" t="s">
        <v>12</v>
      </c>
      <c r="G2544" t="s">
        <v>13</v>
      </c>
      <c r="I2544" s="42">
        <v>746.99</v>
      </c>
      <c r="J2544" s="42"/>
      <c r="K2544" s="42">
        <v>1.99</v>
      </c>
      <c r="L2544" s="42">
        <v>745</v>
      </c>
      <c r="N2544" s="42">
        <v>745</v>
      </c>
    </row>
    <row r="2545" spans="1:14" x14ac:dyDescent="0.25">
      <c r="A2545" s="1">
        <v>46098</v>
      </c>
      <c r="B2545">
        <v>3</v>
      </c>
      <c r="C2545" t="s">
        <v>541</v>
      </c>
      <c r="D2545" t="s">
        <v>10</v>
      </c>
      <c r="E2545" t="s">
        <v>118</v>
      </c>
      <c r="F2545" t="s">
        <v>119</v>
      </c>
      <c r="G2545" t="s">
        <v>13</v>
      </c>
      <c r="I2545" s="42">
        <v>851.99</v>
      </c>
      <c r="J2545" s="42">
        <v>30</v>
      </c>
      <c r="K2545" s="42"/>
      <c r="L2545" s="42">
        <v>881.99</v>
      </c>
      <c r="N2545" s="42">
        <v>881.99</v>
      </c>
    </row>
    <row r="2546" spans="1:14" x14ac:dyDescent="0.25">
      <c r="A2546" s="1">
        <v>46098</v>
      </c>
      <c r="B2546">
        <v>3</v>
      </c>
      <c r="C2546" t="s">
        <v>541</v>
      </c>
      <c r="D2546" t="s">
        <v>10</v>
      </c>
      <c r="E2546" t="s">
        <v>126</v>
      </c>
      <c r="F2546" t="s">
        <v>55</v>
      </c>
      <c r="G2546" t="s">
        <v>56</v>
      </c>
      <c r="I2546" s="42">
        <v>746.99</v>
      </c>
      <c r="J2546" s="42">
        <v>28.01</v>
      </c>
      <c r="K2546" s="42"/>
      <c r="L2546" s="42">
        <v>775</v>
      </c>
      <c r="N2546" s="42">
        <v>775</v>
      </c>
    </row>
    <row r="2547" spans="1:14" x14ac:dyDescent="0.25">
      <c r="A2547" s="1">
        <v>46098</v>
      </c>
      <c r="B2547">
        <v>3</v>
      </c>
      <c r="C2547" t="s">
        <v>541</v>
      </c>
      <c r="D2547" t="s">
        <v>10</v>
      </c>
      <c r="E2547" t="s">
        <v>128</v>
      </c>
      <c r="F2547" t="s">
        <v>25</v>
      </c>
      <c r="G2547" t="s">
        <v>13</v>
      </c>
      <c r="I2547" s="42">
        <v>1351.99</v>
      </c>
      <c r="J2547" s="42"/>
      <c r="K2547" s="42"/>
      <c r="L2547" s="42">
        <v>1351.99</v>
      </c>
      <c r="N2547" s="42">
        <v>1351.99</v>
      </c>
    </row>
    <row r="2548" spans="1:14" x14ac:dyDescent="0.25">
      <c r="A2548" s="1">
        <v>46098</v>
      </c>
      <c r="B2548">
        <v>3</v>
      </c>
      <c r="C2548" t="s">
        <v>541</v>
      </c>
      <c r="D2548" t="s">
        <v>10</v>
      </c>
      <c r="E2548" t="s">
        <v>130</v>
      </c>
      <c r="F2548" t="s">
        <v>28</v>
      </c>
      <c r="G2548" t="s">
        <v>13</v>
      </c>
      <c r="I2548" s="42">
        <v>931.99</v>
      </c>
      <c r="J2548" s="42">
        <v>30</v>
      </c>
      <c r="K2548" s="42"/>
      <c r="L2548" s="42">
        <v>961.99</v>
      </c>
      <c r="N2548" s="42">
        <v>961.99</v>
      </c>
    </row>
    <row r="2549" spans="1:14" x14ac:dyDescent="0.25">
      <c r="A2549" s="1">
        <v>46098</v>
      </c>
      <c r="B2549">
        <v>3</v>
      </c>
      <c r="C2549" t="s">
        <v>541</v>
      </c>
      <c r="D2549" t="s">
        <v>10</v>
      </c>
      <c r="E2549" t="s">
        <v>132</v>
      </c>
      <c r="F2549" t="s">
        <v>76</v>
      </c>
      <c r="G2549" t="s">
        <v>77</v>
      </c>
      <c r="I2549" s="42">
        <v>1451.99</v>
      </c>
      <c r="J2549" s="42"/>
      <c r="K2549" s="42"/>
      <c r="L2549" s="42">
        <v>1451.99</v>
      </c>
      <c r="N2549" s="42">
        <v>1451.99</v>
      </c>
    </row>
    <row r="2550" spans="1:14" x14ac:dyDescent="0.25">
      <c r="A2550" s="1">
        <v>46098</v>
      </c>
      <c r="B2550">
        <v>3</v>
      </c>
      <c r="C2550" t="s">
        <v>541</v>
      </c>
      <c r="D2550" t="s">
        <v>10</v>
      </c>
      <c r="E2550" t="s">
        <v>326</v>
      </c>
      <c r="F2550" t="s">
        <v>52</v>
      </c>
      <c r="G2550" t="s">
        <v>13</v>
      </c>
      <c r="I2550" s="42">
        <v>1251.99</v>
      </c>
      <c r="J2550" s="42">
        <v>85.01</v>
      </c>
      <c r="K2550" s="42"/>
      <c r="L2550" s="42">
        <v>1337</v>
      </c>
      <c r="N2550" s="42">
        <v>1337</v>
      </c>
    </row>
    <row r="2551" spans="1:14" x14ac:dyDescent="0.25">
      <c r="A2551" s="1">
        <v>46098</v>
      </c>
      <c r="B2551">
        <v>3</v>
      </c>
      <c r="C2551" t="s">
        <v>541</v>
      </c>
      <c r="D2551" t="s">
        <v>10</v>
      </c>
      <c r="E2551" t="s">
        <v>248</v>
      </c>
      <c r="F2551" t="s">
        <v>12</v>
      </c>
      <c r="G2551" t="s">
        <v>13</v>
      </c>
      <c r="I2551" s="42">
        <v>746.99</v>
      </c>
      <c r="J2551" s="42">
        <v>60.01</v>
      </c>
      <c r="K2551" s="42"/>
      <c r="L2551" s="42">
        <v>807</v>
      </c>
      <c r="N2551" s="42">
        <v>807</v>
      </c>
    </row>
    <row r="2552" spans="1:14" x14ac:dyDescent="0.25">
      <c r="A2552" s="1">
        <v>46098</v>
      </c>
      <c r="B2552">
        <v>3</v>
      </c>
      <c r="C2552" t="s">
        <v>541</v>
      </c>
      <c r="D2552" t="s">
        <v>10</v>
      </c>
      <c r="E2552" t="s">
        <v>198</v>
      </c>
      <c r="F2552" t="s">
        <v>199</v>
      </c>
      <c r="G2552" t="s">
        <v>38</v>
      </c>
      <c r="I2552" s="42">
        <v>746.99</v>
      </c>
      <c r="J2552" s="42">
        <v>30.01</v>
      </c>
      <c r="K2552" s="42"/>
      <c r="L2552" s="42">
        <v>777</v>
      </c>
      <c r="N2552" s="42">
        <v>777</v>
      </c>
    </row>
    <row r="2553" spans="1:14" x14ac:dyDescent="0.25">
      <c r="A2553" s="1">
        <v>46098</v>
      </c>
      <c r="B2553">
        <v>3</v>
      </c>
      <c r="C2553" t="s">
        <v>541</v>
      </c>
      <c r="D2553" t="s">
        <v>10</v>
      </c>
      <c r="E2553" t="s">
        <v>715</v>
      </c>
      <c r="F2553" t="s">
        <v>41</v>
      </c>
      <c r="G2553" t="s">
        <v>714</v>
      </c>
      <c r="I2553" s="42">
        <v>746.99</v>
      </c>
      <c r="J2553" s="42"/>
      <c r="K2553" s="42"/>
      <c r="L2553" s="42">
        <v>746.99</v>
      </c>
      <c r="N2553" s="42">
        <v>746.99</v>
      </c>
    </row>
    <row r="2554" spans="1:14" x14ac:dyDescent="0.25">
      <c r="A2554" s="1">
        <v>46098</v>
      </c>
      <c r="B2554">
        <v>3</v>
      </c>
      <c r="C2554" t="s">
        <v>541</v>
      </c>
      <c r="D2554" t="s">
        <v>10</v>
      </c>
      <c r="E2554" t="s">
        <v>204</v>
      </c>
      <c r="F2554" t="s">
        <v>12</v>
      </c>
      <c r="G2554" t="s">
        <v>13</v>
      </c>
      <c r="I2554" s="42">
        <v>746.99</v>
      </c>
      <c r="J2554" s="42"/>
      <c r="K2554" s="42"/>
      <c r="L2554" s="42">
        <v>746.99</v>
      </c>
      <c r="N2554" s="42">
        <v>746.99</v>
      </c>
    </row>
    <row r="2555" spans="1:14" x14ac:dyDescent="0.25">
      <c r="A2555" s="1">
        <v>46098</v>
      </c>
      <c r="B2555">
        <v>3</v>
      </c>
      <c r="C2555" t="s">
        <v>541</v>
      </c>
      <c r="D2555" t="s">
        <v>10</v>
      </c>
      <c r="E2555" t="s">
        <v>34</v>
      </c>
      <c r="F2555" t="s">
        <v>33</v>
      </c>
      <c r="G2555" t="s">
        <v>13</v>
      </c>
      <c r="I2555" s="42">
        <v>851.99</v>
      </c>
      <c r="J2555" s="42"/>
      <c r="K2555" s="42"/>
      <c r="L2555" s="42">
        <v>851.99</v>
      </c>
      <c r="N2555" s="42">
        <v>851.99</v>
      </c>
    </row>
    <row r="2556" spans="1:14" x14ac:dyDescent="0.25">
      <c r="A2556" s="1">
        <v>46098</v>
      </c>
      <c r="B2556">
        <v>3</v>
      </c>
      <c r="C2556" t="s">
        <v>542</v>
      </c>
      <c r="D2556" t="s">
        <v>234</v>
      </c>
      <c r="E2556" t="s">
        <v>180</v>
      </c>
      <c r="F2556" t="s">
        <v>52</v>
      </c>
      <c r="G2556" t="s">
        <v>38</v>
      </c>
      <c r="I2556" s="42">
        <v>1251.99</v>
      </c>
      <c r="J2556" s="42"/>
      <c r="K2556" s="42"/>
      <c r="L2556" s="42">
        <v>1251.99</v>
      </c>
      <c r="N2556" s="42"/>
    </row>
    <row r="2557" spans="1:14" x14ac:dyDescent="0.25">
      <c r="A2557" s="1">
        <v>46098</v>
      </c>
      <c r="B2557">
        <v>3</v>
      </c>
      <c r="C2557" t="s">
        <v>541</v>
      </c>
      <c r="D2557" t="s">
        <v>10</v>
      </c>
      <c r="E2557" t="s">
        <v>138</v>
      </c>
      <c r="F2557" t="s">
        <v>12</v>
      </c>
      <c r="G2557" t="s">
        <v>13</v>
      </c>
      <c r="I2557" s="42">
        <v>746.99</v>
      </c>
      <c r="J2557" s="42"/>
      <c r="K2557" s="42">
        <v>0.09</v>
      </c>
      <c r="L2557" s="42">
        <v>746.9</v>
      </c>
      <c r="N2557" s="42">
        <v>746.9</v>
      </c>
    </row>
    <row r="2558" spans="1:14" x14ac:dyDescent="0.25">
      <c r="A2558" s="1">
        <v>46098</v>
      </c>
      <c r="B2558">
        <v>3</v>
      </c>
      <c r="C2558" t="s">
        <v>541</v>
      </c>
      <c r="D2558" t="s">
        <v>10</v>
      </c>
      <c r="E2558" t="s">
        <v>140</v>
      </c>
      <c r="F2558" t="s">
        <v>28</v>
      </c>
      <c r="G2558" t="s">
        <v>13</v>
      </c>
      <c r="I2558" s="42">
        <v>931.99</v>
      </c>
      <c r="J2558" s="42"/>
      <c r="K2558" s="42"/>
      <c r="L2558" s="42">
        <v>931.99</v>
      </c>
      <c r="N2558" s="42">
        <v>931.99</v>
      </c>
    </row>
    <row r="2559" spans="1:14" x14ac:dyDescent="0.25">
      <c r="A2559" s="1">
        <v>46098</v>
      </c>
      <c r="B2559">
        <v>3</v>
      </c>
      <c r="C2559" t="s">
        <v>541</v>
      </c>
      <c r="D2559" t="s">
        <v>10</v>
      </c>
      <c r="E2559" t="s">
        <v>142</v>
      </c>
      <c r="F2559" t="s">
        <v>55</v>
      </c>
      <c r="G2559" t="s">
        <v>95</v>
      </c>
      <c r="I2559" s="42">
        <v>746.99</v>
      </c>
      <c r="J2559" s="42"/>
      <c r="K2559" s="42"/>
      <c r="L2559" s="42">
        <v>746.99</v>
      </c>
      <c r="N2559" s="42">
        <v>746.99</v>
      </c>
    </row>
    <row r="2560" spans="1:14" x14ac:dyDescent="0.25">
      <c r="A2560" s="1">
        <v>46098</v>
      </c>
      <c r="B2560">
        <v>3</v>
      </c>
      <c r="C2560" t="s">
        <v>541</v>
      </c>
      <c r="D2560" t="s">
        <v>10</v>
      </c>
      <c r="E2560" t="s">
        <v>144</v>
      </c>
      <c r="F2560" t="s">
        <v>145</v>
      </c>
      <c r="G2560" t="s">
        <v>66</v>
      </c>
      <c r="I2560" s="42">
        <v>1351.99</v>
      </c>
      <c r="J2560" s="42">
        <v>0.01</v>
      </c>
      <c r="K2560" s="42"/>
      <c r="L2560" s="42">
        <v>1352</v>
      </c>
      <c r="N2560" s="42">
        <v>1352</v>
      </c>
    </row>
    <row r="2561" spans="1:14" x14ac:dyDescent="0.25">
      <c r="A2561" s="1">
        <v>46098</v>
      </c>
      <c r="B2561">
        <v>3</v>
      </c>
      <c r="C2561" t="s">
        <v>541</v>
      </c>
      <c r="D2561" t="s">
        <v>10</v>
      </c>
      <c r="E2561" t="s">
        <v>147</v>
      </c>
      <c r="F2561" t="s">
        <v>33</v>
      </c>
      <c r="G2561" t="s">
        <v>13</v>
      </c>
      <c r="I2561" s="42">
        <v>851.99</v>
      </c>
      <c r="J2561" s="42"/>
      <c r="K2561" s="42">
        <v>608.57000000000005</v>
      </c>
      <c r="L2561" s="42">
        <v>243.42</v>
      </c>
      <c r="N2561" s="42">
        <v>243.42</v>
      </c>
    </row>
    <row r="2562" spans="1:14" x14ac:dyDescent="0.25">
      <c r="A2562" s="1">
        <v>46098</v>
      </c>
      <c r="B2562">
        <v>3</v>
      </c>
      <c r="C2562" t="s">
        <v>541</v>
      </c>
      <c r="D2562" t="s">
        <v>10</v>
      </c>
      <c r="E2562" t="s">
        <v>149</v>
      </c>
      <c r="F2562" t="s">
        <v>33</v>
      </c>
      <c r="G2562" t="s">
        <v>13</v>
      </c>
      <c r="I2562" s="42">
        <v>851.99</v>
      </c>
      <c r="J2562" s="42">
        <v>60.01</v>
      </c>
      <c r="K2562" s="42"/>
      <c r="L2562" s="42">
        <v>912</v>
      </c>
      <c r="N2562" s="42">
        <v>912</v>
      </c>
    </row>
    <row r="2563" spans="1:14" x14ac:dyDescent="0.25">
      <c r="A2563" s="1">
        <v>46098</v>
      </c>
      <c r="B2563">
        <v>3</v>
      </c>
      <c r="C2563" t="s">
        <v>541</v>
      </c>
      <c r="D2563" t="s">
        <v>10</v>
      </c>
      <c r="E2563" t="s">
        <v>97</v>
      </c>
      <c r="F2563" t="s">
        <v>33</v>
      </c>
      <c r="G2563" t="s">
        <v>13</v>
      </c>
      <c r="I2563" s="42">
        <v>851.99</v>
      </c>
      <c r="J2563" s="42">
        <v>30</v>
      </c>
      <c r="K2563" s="42"/>
      <c r="L2563" s="42">
        <v>881.99</v>
      </c>
      <c r="N2563" s="42">
        <v>881.99</v>
      </c>
    </row>
    <row r="2564" spans="1:14" x14ac:dyDescent="0.25">
      <c r="A2564" s="1">
        <v>46098</v>
      </c>
      <c r="B2564">
        <v>3</v>
      </c>
      <c r="C2564" t="s">
        <v>541</v>
      </c>
      <c r="D2564" t="s">
        <v>10</v>
      </c>
      <c r="E2564" t="s">
        <v>151</v>
      </c>
      <c r="F2564" t="s">
        <v>33</v>
      </c>
      <c r="G2564" t="s">
        <v>38</v>
      </c>
      <c r="I2564" s="42">
        <v>851.99</v>
      </c>
      <c r="J2564" s="42"/>
      <c r="K2564" s="42"/>
      <c r="L2564" s="42">
        <v>851.99</v>
      </c>
      <c r="N2564" s="42">
        <v>851.99</v>
      </c>
    </row>
    <row r="2565" spans="1:14" x14ac:dyDescent="0.25">
      <c r="A2565" s="1">
        <v>46098</v>
      </c>
      <c r="B2565">
        <v>3</v>
      </c>
      <c r="C2565" t="s">
        <v>541</v>
      </c>
      <c r="D2565" t="s">
        <v>10</v>
      </c>
      <c r="E2565" t="s">
        <v>153</v>
      </c>
      <c r="F2565" t="s">
        <v>12</v>
      </c>
      <c r="G2565" t="s">
        <v>13</v>
      </c>
      <c r="I2565" s="42">
        <v>746.99</v>
      </c>
      <c r="J2565" s="42">
        <v>60</v>
      </c>
      <c r="K2565" s="42"/>
      <c r="L2565" s="42">
        <v>806.99</v>
      </c>
      <c r="N2565" s="42">
        <v>806.99</v>
      </c>
    </row>
    <row r="2566" spans="1:14" x14ac:dyDescent="0.25">
      <c r="A2566" s="1">
        <v>46098</v>
      </c>
      <c r="B2566">
        <v>3</v>
      </c>
      <c r="C2566" t="s">
        <v>541</v>
      </c>
      <c r="D2566" t="s">
        <v>10</v>
      </c>
      <c r="E2566" t="s">
        <v>155</v>
      </c>
      <c r="F2566" t="s">
        <v>33</v>
      </c>
      <c r="G2566" t="s">
        <v>38</v>
      </c>
      <c r="I2566" s="42">
        <v>851.99</v>
      </c>
      <c r="J2566" s="42"/>
      <c r="K2566" s="42"/>
      <c r="L2566" s="42">
        <v>851.99</v>
      </c>
      <c r="N2566" s="42">
        <v>851.99</v>
      </c>
    </row>
    <row r="2567" spans="1:14" x14ac:dyDescent="0.25">
      <c r="A2567" s="1">
        <v>46098</v>
      </c>
      <c r="B2567">
        <v>3</v>
      </c>
      <c r="C2567" t="s">
        <v>541</v>
      </c>
      <c r="D2567" t="s">
        <v>10</v>
      </c>
      <c r="E2567" t="s">
        <v>106</v>
      </c>
      <c r="F2567" t="s">
        <v>12</v>
      </c>
      <c r="G2567" t="s">
        <v>13</v>
      </c>
      <c r="I2567" s="42">
        <v>746.99</v>
      </c>
      <c r="J2567" s="42">
        <v>30</v>
      </c>
      <c r="K2567" s="42"/>
      <c r="L2567" s="42">
        <v>776.99</v>
      </c>
      <c r="N2567" s="42">
        <v>776.99</v>
      </c>
    </row>
    <row r="2568" spans="1:14" x14ac:dyDescent="0.25">
      <c r="A2568" s="1">
        <v>46098</v>
      </c>
      <c r="B2568">
        <v>3</v>
      </c>
      <c r="C2568" t="s">
        <v>541</v>
      </c>
      <c r="D2568" t="s">
        <v>10</v>
      </c>
      <c r="E2568" t="s">
        <v>244</v>
      </c>
      <c r="F2568" t="s">
        <v>245</v>
      </c>
      <c r="G2568" t="s">
        <v>13</v>
      </c>
      <c r="I2568" s="42">
        <v>746.99</v>
      </c>
      <c r="J2568" s="42"/>
      <c r="K2568" s="42"/>
      <c r="L2568" s="42">
        <v>746.99</v>
      </c>
      <c r="N2568" s="42">
        <v>746.99</v>
      </c>
    </row>
    <row r="2569" spans="1:14" x14ac:dyDescent="0.25">
      <c r="A2569" s="1">
        <v>46098</v>
      </c>
      <c r="B2569">
        <v>3</v>
      </c>
      <c r="C2569" t="s">
        <v>541</v>
      </c>
      <c r="D2569" t="s">
        <v>10</v>
      </c>
      <c r="E2569" t="s">
        <v>166</v>
      </c>
      <c r="F2569" t="s">
        <v>12</v>
      </c>
      <c r="G2569" t="s">
        <v>13</v>
      </c>
      <c r="I2569" s="42">
        <v>746.99</v>
      </c>
      <c r="J2569" s="42"/>
      <c r="K2569" s="42">
        <v>1.99</v>
      </c>
      <c r="L2569" s="42">
        <v>745</v>
      </c>
      <c r="N2569" s="42">
        <v>745</v>
      </c>
    </row>
    <row r="2570" spans="1:14" x14ac:dyDescent="0.25">
      <c r="A2570" s="1">
        <v>46098</v>
      </c>
      <c r="B2570">
        <v>3</v>
      </c>
      <c r="C2570" t="s">
        <v>541</v>
      </c>
      <c r="D2570" t="s">
        <v>10</v>
      </c>
      <c r="E2570" t="s">
        <v>177</v>
      </c>
      <c r="F2570" t="s">
        <v>178</v>
      </c>
      <c r="G2570" t="s">
        <v>13</v>
      </c>
      <c r="I2570" s="42">
        <v>851.99</v>
      </c>
      <c r="J2570" s="42">
        <v>0.01</v>
      </c>
      <c r="K2570" s="42"/>
      <c r="L2570" s="42">
        <v>852</v>
      </c>
      <c r="N2570" s="42">
        <v>852</v>
      </c>
    </row>
    <row r="2571" spans="1:14" x14ac:dyDescent="0.25">
      <c r="A2571" s="1">
        <v>46098</v>
      </c>
      <c r="B2571">
        <v>3</v>
      </c>
      <c r="C2571" t="s">
        <v>541</v>
      </c>
      <c r="D2571" t="s">
        <v>10</v>
      </c>
      <c r="E2571" t="s">
        <v>182</v>
      </c>
      <c r="F2571" t="s">
        <v>25</v>
      </c>
      <c r="G2571" t="s">
        <v>183</v>
      </c>
      <c r="I2571" s="42">
        <v>1251.99</v>
      </c>
      <c r="J2571" s="42"/>
      <c r="K2571" s="42">
        <v>1.99</v>
      </c>
      <c r="L2571" s="42">
        <v>1250</v>
      </c>
      <c r="N2571" s="42">
        <v>1250</v>
      </c>
    </row>
    <row r="2572" spans="1:14" x14ac:dyDescent="0.25">
      <c r="A2572" s="1">
        <v>46098</v>
      </c>
      <c r="B2572">
        <v>3</v>
      </c>
      <c r="C2572" t="s">
        <v>541</v>
      </c>
      <c r="D2572" t="s">
        <v>10</v>
      </c>
      <c r="E2572" t="s">
        <v>707</v>
      </c>
      <c r="F2572" t="s">
        <v>73</v>
      </c>
      <c r="G2572" t="s">
        <v>13</v>
      </c>
      <c r="I2572" s="42">
        <v>2001.99</v>
      </c>
      <c r="J2572" s="42">
        <v>60</v>
      </c>
      <c r="K2572" s="42"/>
      <c r="L2572" s="42">
        <v>2061.9899999999998</v>
      </c>
      <c r="N2572" s="42">
        <v>2061.9899999999998</v>
      </c>
    </row>
    <row r="2573" spans="1:14" x14ac:dyDescent="0.25">
      <c r="A2573" s="1">
        <v>46098</v>
      </c>
      <c r="B2573">
        <v>3</v>
      </c>
      <c r="C2573" t="s">
        <v>541</v>
      </c>
      <c r="D2573" t="s">
        <v>10</v>
      </c>
      <c r="E2573" t="s">
        <v>219</v>
      </c>
      <c r="F2573" t="s">
        <v>12</v>
      </c>
      <c r="G2573" t="s">
        <v>13</v>
      </c>
      <c r="I2573" s="42">
        <v>746.99</v>
      </c>
      <c r="J2573" s="42">
        <v>0.01</v>
      </c>
      <c r="K2573" s="42"/>
      <c r="L2573" s="42">
        <v>792</v>
      </c>
      <c r="N2573" s="42">
        <v>747</v>
      </c>
    </row>
    <row r="2574" spans="1:14" x14ac:dyDescent="0.25">
      <c r="A2574" s="1">
        <v>46098</v>
      </c>
      <c r="B2574">
        <v>3</v>
      </c>
      <c r="C2574" t="s">
        <v>541</v>
      </c>
      <c r="D2574" t="s">
        <v>10</v>
      </c>
      <c r="E2574" t="s">
        <v>312</v>
      </c>
      <c r="F2574" t="s">
        <v>158</v>
      </c>
      <c r="G2574" t="s">
        <v>104</v>
      </c>
      <c r="I2574" s="42">
        <v>746.99</v>
      </c>
      <c r="J2574" s="42"/>
      <c r="K2574" s="42"/>
      <c r="L2574" s="42">
        <v>746.99</v>
      </c>
      <c r="N2574" s="42">
        <v>746.99</v>
      </c>
    </row>
    <row r="2575" spans="1:14" x14ac:dyDescent="0.25">
      <c r="A2575" s="1">
        <v>46098</v>
      </c>
      <c r="B2575">
        <v>3</v>
      </c>
      <c r="C2575" t="s">
        <v>541</v>
      </c>
      <c r="D2575" t="s">
        <v>10</v>
      </c>
      <c r="E2575" t="s">
        <v>257</v>
      </c>
      <c r="F2575" t="s">
        <v>158</v>
      </c>
      <c r="G2575" t="s">
        <v>111</v>
      </c>
      <c r="I2575" s="42">
        <v>746.99</v>
      </c>
      <c r="J2575" s="42">
        <v>5.01</v>
      </c>
      <c r="K2575" s="42"/>
      <c r="L2575" s="42">
        <v>752</v>
      </c>
      <c r="N2575" s="42">
        <v>752</v>
      </c>
    </row>
    <row r="2576" spans="1:14" x14ac:dyDescent="0.25">
      <c r="A2576" s="1">
        <v>46098</v>
      </c>
      <c r="B2576">
        <v>3</v>
      </c>
      <c r="C2576" t="s">
        <v>541</v>
      </c>
      <c r="D2576" t="s">
        <v>10</v>
      </c>
      <c r="E2576" t="s">
        <v>335</v>
      </c>
      <c r="F2576" t="s">
        <v>158</v>
      </c>
      <c r="G2576" t="s">
        <v>104</v>
      </c>
      <c r="I2576" s="42">
        <v>746.99</v>
      </c>
      <c r="J2576" s="42"/>
      <c r="K2576" s="42"/>
      <c r="L2576" s="42">
        <v>900</v>
      </c>
      <c r="N2576" s="42">
        <v>746.99</v>
      </c>
    </row>
    <row r="2577" spans="1:14" x14ac:dyDescent="0.25">
      <c r="A2577" s="1">
        <v>46098</v>
      </c>
      <c r="B2577">
        <v>3</v>
      </c>
      <c r="C2577" t="s">
        <v>541</v>
      </c>
      <c r="D2577" t="s">
        <v>10</v>
      </c>
      <c r="E2577" t="s">
        <v>296</v>
      </c>
      <c r="F2577" t="s">
        <v>37</v>
      </c>
      <c r="G2577" t="s">
        <v>38</v>
      </c>
      <c r="I2577" s="42">
        <v>746.99</v>
      </c>
      <c r="J2577" s="42"/>
      <c r="K2577" s="42"/>
      <c r="L2577" s="42">
        <v>746.99</v>
      </c>
      <c r="N2577" s="42">
        <v>746.99</v>
      </c>
    </row>
    <row r="2578" spans="1:14" x14ac:dyDescent="0.25">
      <c r="A2578" s="1">
        <v>46098</v>
      </c>
      <c r="B2578">
        <v>3</v>
      </c>
      <c r="C2578" t="s">
        <v>541</v>
      </c>
      <c r="D2578" t="s">
        <v>10</v>
      </c>
      <c r="E2578" t="s">
        <v>134</v>
      </c>
      <c r="F2578" t="s">
        <v>69</v>
      </c>
      <c r="G2578" t="s">
        <v>38</v>
      </c>
      <c r="I2578" s="42">
        <v>746.99</v>
      </c>
      <c r="J2578" s="42"/>
      <c r="K2578" s="42"/>
      <c r="L2578" s="42">
        <v>746.99</v>
      </c>
      <c r="N2578" s="42">
        <v>746.99</v>
      </c>
    </row>
    <row r="2579" spans="1:14" x14ac:dyDescent="0.25">
      <c r="A2579" s="1">
        <v>46098</v>
      </c>
      <c r="B2579">
        <v>3</v>
      </c>
      <c r="C2579" t="s">
        <v>541</v>
      </c>
      <c r="D2579" t="s">
        <v>10</v>
      </c>
      <c r="E2579" t="s">
        <v>160</v>
      </c>
      <c r="F2579" t="s">
        <v>158</v>
      </c>
      <c r="G2579" t="s">
        <v>22</v>
      </c>
      <c r="I2579" s="42">
        <v>746.99</v>
      </c>
      <c r="J2579" s="42"/>
      <c r="K2579" s="42"/>
      <c r="L2579" s="42">
        <v>746.99</v>
      </c>
      <c r="N2579" s="42">
        <v>746.99</v>
      </c>
    </row>
    <row r="2580" spans="1:14" x14ac:dyDescent="0.25">
      <c r="A2580" s="1">
        <v>46098</v>
      </c>
      <c r="B2580">
        <v>3</v>
      </c>
      <c r="C2580" t="s">
        <v>541</v>
      </c>
      <c r="D2580" t="s">
        <v>10</v>
      </c>
      <c r="E2580" t="s">
        <v>247</v>
      </c>
      <c r="F2580" t="s">
        <v>12</v>
      </c>
      <c r="G2580" t="s">
        <v>104</v>
      </c>
      <c r="I2580" s="42">
        <v>746.99</v>
      </c>
      <c r="J2580" s="42">
        <v>30.01</v>
      </c>
      <c r="K2580" s="42"/>
      <c r="L2580" s="42">
        <v>777</v>
      </c>
      <c r="N2580" s="42">
        <v>777</v>
      </c>
    </row>
    <row r="2581" spans="1:14" x14ac:dyDescent="0.25">
      <c r="A2581" s="1">
        <v>46098</v>
      </c>
      <c r="B2581">
        <v>3</v>
      </c>
      <c r="C2581" t="s">
        <v>541</v>
      </c>
      <c r="D2581" t="s">
        <v>10</v>
      </c>
      <c r="E2581" t="s">
        <v>263</v>
      </c>
      <c r="F2581" t="s">
        <v>264</v>
      </c>
      <c r="G2581" t="s">
        <v>66</v>
      </c>
      <c r="I2581" s="42">
        <v>746.99</v>
      </c>
      <c r="J2581" s="42">
        <v>0.01</v>
      </c>
      <c r="K2581" s="42"/>
      <c r="L2581" s="42">
        <v>747</v>
      </c>
      <c r="N2581" s="42">
        <v>747</v>
      </c>
    </row>
    <row r="2582" spans="1:14" x14ac:dyDescent="0.25">
      <c r="A2582" s="1">
        <v>46098</v>
      </c>
      <c r="B2582">
        <v>3</v>
      </c>
      <c r="C2582" t="s">
        <v>541</v>
      </c>
      <c r="D2582" t="s">
        <v>10</v>
      </c>
      <c r="E2582" t="s">
        <v>283</v>
      </c>
      <c r="F2582" t="s">
        <v>76</v>
      </c>
      <c r="G2582" t="s">
        <v>77</v>
      </c>
      <c r="I2582" s="42">
        <v>1451.99</v>
      </c>
      <c r="J2582" s="42"/>
      <c r="K2582" s="42"/>
      <c r="L2582" s="42">
        <v>1451.99</v>
      </c>
      <c r="N2582" s="42">
        <v>1451.99</v>
      </c>
    </row>
    <row r="2583" spans="1:14" x14ac:dyDescent="0.25">
      <c r="A2583" s="1">
        <v>46098</v>
      </c>
      <c r="B2583">
        <v>3</v>
      </c>
      <c r="C2583" t="s">
        <v>541</v>
      </c>
      <c r="D2583" t="s">
        <v>10</v>
      </c>
      <c r="E2583" t="s">
        <v>157</v>
      </c>
      <c r="F2583" t="s">
        <v>158</v>
      </c>
      <c r="G2583" t="s">
        <v>111</v>
      </c>
      <c r="I2583" s="42">
        <v>746.99</v>
      </c>
      <c r="J2583" s="42"/>
      <c r="K2583" s="42"/>
      <c r="L2583" s="42">
        <v>746.99</v>
      </c>
      <c r="N2583" s="42">
        <v>746.99</v>
      </c>
    </row>
    <row r="2584" spans="1:14" x14ac:dyDescent="0.25">
      <c r="A2584" s="1">
        <v>46098</v>
      </c>
      <c r="B2584">
        <v>3</v>
      </c>
      <c r="C2584" t="s">
        <v>541</v>
      </c>
      <c r="D2584" t="s">
        <v>10</v>
      </c>
      <c r="E2584" t="s">
        <v>724</v>
      </c>
      <c r="F2584" t="s">
        <v>178</v>
      </c>
      <c r="G2584" t="s">
        <v>725</v>
      </c>
      <c r="I2584" s="42">
        <v>849.99</v>
      </c>
      <c r="J2584" s="42">
        <v>0.01</v>
      </c>
      <c r="K2584" s="42"/>
      <c r="L2584" s="42">
        <v>850</v>
      </c>
      <c r="N2584" s="42">
        <v>850</v>
      </c>
    </row>
    <row r="2585" spans="1:14" x14ac:dyDescent="0.25">
      <c r="A2585" s="1">
        <v>46098</v>
      </c>
      <c r="B2585">
        <v>3</v>
      </c>
      <c r="C2585" t="s">
        <v>541</v>
      </c>
      <c r="D2585" t="s">
        <v>10</v>
      </c>
      <c r="E2585" t="s">
        <v>162</v>
      </c>
      <c r="F2585" t="s">
        <v>158</v>
      </c>
      <c r="G2585" t="s">
        <v>104</v>
      </c>
      <c r="I2585" s="42">
        <v>746.99</v>
      </c>
      <c r="J2585" s="42"/>
      <c r="K2585" s="42"/>
      <c r="L2585" s="42">
        <v>746.99</v>
      </c>
      <c r="N2585" s="42">
        <v>746.99</v>
      </c>
    </row>
    <row r="2586" spans="1:14" x14ac:dyDescent="0.25">
      <c r="A2586" s="1">
        <v>46098</v>
      </c>
      <c r="B2586">
        <v>3</v>
      </c>
      <c r="C2586" t="s">
        <v>541</v>
      </c>
      <c r="D2586" t="s">
        <v>10</v>
      </c>
      <c r="E2586" t="s">
        <v>317</v>
      </c>
      <c r="F2586" t="s">
        <v>101</v>
      </c>
      <c r="G2586" t="s">
        <v>13</v>
      </c>
      <c r="I2586" s="42">
        <v>1351.99</v>
      </c>
      <c r="J2586" s="42"/>
      <c r="K2586" s="42"/>
      <c r="L2586" s="42">
        <v>1351.99</v>
      </c>
      <c r="N2586" s="42">
        <v>1351.99</v>
      </c>
    </row>
    <row r="2587" spans="1:14" x14ac:dyDescent="0.25">
      <c r="A2587" s="1">
        <v>46098</v>
      </c>
      <c r="B2587">
        <v>3</v>
      </c>
      <c r="C2587" t="s">
        <v>541</v>
      </c>
      <c r="D2587" t="s">
        <v>10</v>
      </c>
      <c r="E2587" t="s">
        <v>30</v>
      </c>
      <c r="F2587" t="s">
        <v>28</v>
      </c>
      <c r="G2587" t="s">
        <v>13</v>
      </c>
      <c r="I2587" s="42">
        <v>931.99</v>
      </c>
      <c r="J2587" s="42"/>
      <c r="K2587" s="42"/>
      <c r="L2587" s="42">
        <v>931.99</v>
      </c>
      <c r="N2587" s="42">
        <v>931.99</v>
      </c>
    </row>
    <row r="2588" spans="1:14" x14ac:dyDescent="0.25">
      <c r="A2588" s="1">
        <v>46098</v>
      </c>
      <c r="B2588">
        <v>3</v>
      </c>
      <c r="C2588" t="s">
        <v>541</v>
      </c>
      <c r="D2588" t="s">
        <v>10</v>
      </c>
      <c r="E2588" t="s">
        <v>307</v>
      </c>
      <c r="F2588" t="s">
        <v>214</v>
      </c>
      <c r="G2588" t="s">
        <v>66</v>
      </c>
      <c r="I2588" s="42">
        <v>851.99</v>
      </c>
      <c r="J2588" s="42">
        <v>0.01</v>
      </c>
      <c r="K2588" s="42"/>
      <c r="L2588" s="42">
        <v>852</v>
      </c>
      <c r="N2588" s="42">
        <v>852</v>
      </c>
    </row>
    <row r="2589" spans="1:14" x14ac:dyDescent="0.25">
      <c r="A2589" s="1">
        <v>46098</v>
      </c>
      <c r="B2589">
        <v>3</v>
      </c>
      <c r="C2589" t="s">
        <v>541</v>
      </c>
      <c r="D2589" t="s">
        <v>10</v>
      </c>
      <c r="E2589" t="s">
        <v>333</v>
      </c>
      <c r="F2589" t="s">
        <v>158</v>
      </c>
      <c r="G2589" t="s">
        <v>22</v>
      </c>
      <c r="I2589" s="42">
        <v>746.99</v>
      </c>
      <c r="J2589" s="42">
        <v>33.01</v>
      </c>
      <c r="K2589" s="42"/>
      <c r="L2589" s="42">
        <v>780</v>
      </c>
      <c r="N2589" s="42">
        <v>780</v>
      </c>
    </row>
    <row r="2590" spans="1:14" x14ac:dyDescent="0.25">
      <c r="A2590" s="1">
        <v>46098</v>
      </c>
      <c r="B2590">
        <v>3</v>
      </c>
      <c r="C2590" t="s">
        <v>541</v>
      </c>
      <c r="D2590" t="s">
        <v>10</v>
      </c>
      <c r="E2590" t="s">
        <v>250</v>
      </c>
      <c r="F2590" t="s">
        <v>12</v>
      </c>
      <c r="G2590" t="s">
        <v>13</v>
      </c>
      <c r="I2590" s="42">
        <v>746.99</v>
      </c>
      <c r="J2590" s="42">
        <v>30</v>
      </c>
      <c r="K2590" s="42"/>
      <c r="L2590" s="42">
        <v>776.99</v>
      </c>
      <c r="N2590" s="42">
        <v>776.99</v>
      </c>
    </row>
    <row r="2591" spans="1:14" x14ac:dyDescent="0.25">
      <c r="A2591" s="1">
        <v>46098</v>
      </c>
      <c r="B2591">
        <v>3</v>
      </c>
      <c r="C2591" t="s">
        <v>541</v>
      </c>
      <c r="D2591" t="s">
        <v>10</v>
      </c>
      <c r="E2591" t="s">
        <v>331</v>
      </c>
      <c r="F2591" t="s">
        <v>12</v>
      </c>
      <c r="G2591" t="s">
        <v>13</v>
      </c>
      <c r="I2591" s="42">
        <v>746.99</v>
      </c>
      <c r="J2591" s="42"/>
      <c r="K2591" s="42"/>
      <c r="L2591" s="42">
        <v>746.99</v>
      </c>
      <c r="N2591" s="42">
        <v>746.99</v>
      </c>
    </row>
    <row r="2592" spans="1:14" x14ac:dyDescent="0.25">
      <c r="A2592" s="1">
        <v>46098</v>
      </c>
      <c r="B2592">
        <v>3</v>
      </c>
      <c r="C2592" t="s">
        <v>542</v>
      </c>
      <c r="D2592" t="s">
        <v>99</v>
      </c>
      <c r="E2592" t="s">
        <v>121</v>
      </c>
      <c r="F2592" t="s">
        <v>52</v>
      </c>
      <c r="G2592" t="s">
        <v>122</v>
      </c>
      <c r="I2592" s="42">
        <v>1251.99</v>
      </c>
      <c r="J2592" s="42"/>
      <c r="K2592" s="42"/>
      <c r="L2592" s="42">
        <v>1251.99</v>
      </c>
      <c r="N2592" s="42"/>
    </row>
    <row r="2593" spans="1:14" x14ac:dyDescent="0.25">
      <c r="A2593" s="1">
        <v>46098</v>
      </c>
      <c r="B2593">
        <v>3</v>
      </c>
      <c r="C2593" t="s">
        <v>541</v>
      </c>
      <c r="D2593" t="s">
        <v>10</v>
      </c>
      <c r="E2593" t="s">
        <v>185</v>
      </c>
      <c r="F2593" t="s">
        <v>12</v>
      </c>
      <c r="G2593" t="s">
        <v>13</v>
      </c>
      <c r="I2593" s="42">
        <v>746.99</v>
      </c>
      <c r="J2593" s="42"/>
      <c r="K2593" s="42">
        <v>0.99</v>
      </c>
      <c r="L2593" s="42">
        <v>746</v>
      </c>
      <c r="N2593" s="42">
        <v>746</v>
      </c>
    </row>
    <row r="2594" spans="1:14" x14ac:dyDescent="0.25">
      <c r="A2594" s="1">
        <v>46098</v>
      </c>
      <c r="B2594">
        <v>3</v>
      </c>
      <c r="C2594" t="s">
        <v>541</v>
      </c>
      <c r="D2594" t="s">
        <v>10</v>
      </c>
      <c r="E2594" t="s">
        <v>187</v>
      </c>
      <c r="F2594" t="s">
        <v>12</v>
      </c>
      <c r="G2594" t="s">
        <v>13</v>
      </c>
      <c r="I2594" s="42">
        <v>746.99</v>
      </c>
      <c r="J2594" s="42">
        <v>0.01</v>
      </c>
      <c r="K2594" s="42"/>
      <c r="L2594" s="42">
        <v>747</v>
      </c>
      <c r="N2594" s="42">
        <v>747</v>
      </c>
    </row>
    <row r="2595" spans="1:14" x14ac:dyDescent="0.25">
      <c r="A2595" s="1">
        <v>46098</v>
      </c>
      <c r="B2595">
        <v>3</v>
      </c>
      <c r="C2595" t="s">
        <v>541</v>
      </c>
      <c r="D2595" t="s">
        <v>10</v>
      </c>
      <c r="E2595" t="s">
        <v>308</v>
      </c>
      <c r="F2595" t="s">
        <v>28</v>
      </c>
      <c r="G2595" t="s">
        <v>13</v>
      </c>
      <c r="I2595" s="42">
        <v>931.99</v>
      </c>
      <c r="J2595" s="42"/>
      <c r="K2595" s="42"/>
      <c r="L2595" s="42">
        <v>931.99</v>
      </c>
      <c r="N2595" s="42">
        <v>931.99</v>
      </c>
    </row>
    <row r="2596" spans="1:14" x14ac:dyDescent="0.25">
      <c r="A2596" s="1">
        <v>46098</v>
      </c>
      <c r="B2596">
        <v>3</v>
      </c>
      <c r="C2596" t="s">
        <v>541</v>
      </c>
      <c r="D2596" t="s">
        <v>10</v>
      </c>
      <c r="E2596" t="s">
        <v>189</v>
      </c>
      <c r="F2596" t="s">
        <v>12</v>
      </c>
      <c r="G2596" t="s">
        <v>13</v>
      </c>
      <c r="I2596" s="42">
        <v>746.99</v>
      </c>
      <c r="J2596" s="42"/>
      <c r="K2596" s="42">
        <v>1.99</v>
      </c>
      <c r="L2596" s="42">
        <v>745</v>
      </c>
      <c r="N2596" s="42">
        <v>745</v>
      </c>
    </row>
    <row r="2597" spans="1:14" x14ac:dyDescent="0.25">
      <c r="A2597" s="1">
        <v>46098</v>
      </c>
      <c r="B2597">
        <v>3</v>
      </c>
      <c r="C2597" t="s">
        <v>541</v>
      </c>
      <c r="D2597" t="s">
        <v>10</v>
      </c>
      <c r="E2597" t="s">
        <v>328</v>
      </c>
      <c r="F2597" t="s">
        <v>55</v>
      </c>
      <c r="G2597" t="s">
        <v>13</v>
      </c>
      <c r="I2597" s="42">
        <v>746.99</v>
      </c>
      <c r="J2597" s="42"/>
      <c r="K2597" s="42"/>
      <c r="L2597" s="42">
        <v>746.99</v>
      </c>
      <c r="N2597" s="42">
        <v>400</v>
      </c>
    </row>
    <row r="2598" spans="1:14" x14ac:dyDescent="0.25">
      <c r="A2598" s="1">
        <v>46098</v>
      </c>
      <c r="B2598">
        <v>3</v>
      </c>
      <c r="C2598" t="s">
        <v>541</v>
      </c>
      <c r="D2598" t="s">
        <v>10</v>
      </c>
      <c r="E2598" t="s">
        <v>193</v>
      </c>
      <c r="F2598" t="s">
        <v>12</v>
      </c>
      <c r="G2598" t="s">
        <v>13</v>
      </c>
      <c r="I2598" s="42">
        <v>746.99</v>
      </c>
      <c r="J2598" s="42"/>
      <c r="K2598" s="42">
        <v>1.99</v>
      </c>
      <c r="L2598" s="42">
        <v>745</v>
      </c>
      <c r="N2598" s="42">
        <v>745</v>
      </c>
    </row>
    <row r="2599" spans="1:14" x14ac:dyDescent="0.25">
      <c r="A2599" s="1">
        <v>46098</v>
      </c>
      <c r="B2599">
        <v>3</v>
      </c>
      <c r="C2599" t="s">
        <v>541</v>
      </c>
      <c r="D2599" t="s">
        <v>10</v>
      </c>
      <c r="E2599" t="s">
        <v>195</v>
      </c>
      <c r="F2599" t="s">
        <v>196</v>
      </c>
      <c r="G2599" t="s">
        <v>22</v>
      </c>
      <c r="I2599" s="42">
        <v>681.99</v>
      </c>
      <c r="J2599" s="42"/>
      <c r="K2599" s="42">
        <v>681.99</v>
      </c>
      <c r="L2599" s="42">
        <v>0</v>
      </c>
      <c r="N2599" s="42"/>
    </row>
    <row r="2600" spans="1:14" x14ac:dyDescent="0.25">
      <c r="A2600" s="1">
        <v>46098</v>
      </c>
      <c r="B2600">
        <v>3</v>
      </c>
      <c r="C2600" t="s">
        <v>541</v>
      </c>
      <c r="D2600" t="s">
        <v>10</v>
      </c>
      <c r="E2600" t="s">
        <v>201</v>
      </c>
      <c r="F2600" t="s">
        <v>202</v>
      </c>
      <c r="G2600" t="s">
        <v>56</v>
      </c>
      <c r="I2600" s="42">
        <v>831.99</v>
      </c>
      <c r="J2600" s="42">
        <v>30</v>
      </c>
      <c r="K2600" s="42"/>
      <c r="L2600" s="42">
        <v>861.99</v>
      </c>
      <c r="N2600" s="42">
        <v>861.99</v>
      </c>
    </row>
    <row r="2601" spans="1:14" x14ac:dyDescent="0.25">
      <c r="A2601" s="1">
        <v>46098</v>
      </c>
      <c r="B2601">
        <v>3</v>
      </c>
      <c r="C2601" t="s">
        <v>541</v>
      </c>
      <c r="D2601" t="s">
        <v>10</v>
      </c>
      <c r="E2601" t="s">
        <v>207</v>
      </c>
      <c r="F2601" t="s">
        <v>33</v>
      </c>
      <c r="G2601" t="s">
        <v>13</v>
      </c>
      <c r="I2601" s="42">
        <v>851.99</v>
      </c>
      <c r="J2601" s="42"/>
      <c r="K2601" s="42"/>
      <c r="L2601" s="42">
        <v>851.99</v>
      </c>
      <c r="N2601" s="42">
        <v>851.99</v>
      </c>
    </row>
    <row r="2602" spans="1:14" x14ac:dyDescent="0.25">
      <c r="A2602" s="1">
        <v>46098</v>
      </c>
      <c r="B2602">
        <v>3</v>
      </c>
      <c r="C2602" t="s">
        <v>541</v>
      </c>
      <c r="D2602" t="s">
        <v>10</v>
      </c>
      <c r="E2602" t="s">
        <v>210</v>
      </c>
      <c r="F2602" t="s">
        <v>211</v>
      </c>
      <c r="G2602" t="s">
        <v>13</v>
      </c>
      <c r="I2602" s="42">
        <v>851.99</v>
      </c>
      <c r="J2602" s="42">
        <v>28.93</v>
      </c>
      <c r="K2602" s="42"/>
      <c r="L2602" s="42">
        <v>880.92</v>
      </c>
      <c r="N2602" s="42">
        <v>880.92</v>
      </c>
    </row>
    <row r="2603" spans="1:14" x14ac:dyDescent="0.25">
      <c r="A2603" s="1">
        <v>46098</v>
      </c>
      <c r="B2603">
        <v>3</v>
      </c>
      <c r="C2603" t="s">
        <v>541</v>
      </c>
      <c r="D2603" t="s">
        <v>10</v>
      </c>
      <c r="E2603" t="s">
        <v>213</v>
      </c>
      <c r="F2603" t="s">
        <v>214</v>
      </c>
      <c r="G2603" t="s">
        <v>13</v>
      </c>
      <c r="I2603" s="42">
        <v>851.99</v>
      </c>
      <c r="J2603" s="42"/>
      <c r="K2603" s="42"/>
      <c r="L2603" s="42">
        <v>851.99</v>
      </c>
      <c r="N2603" s="42">
        <v>851.99</v>
      </c>
    </row>
    <row r="2604" spans="1:14" x14ac:dyDescent="0.25">
      <c r="A2604" s="1">
        <v>46098</v>
      </c>
      <c r="B2604">
        <v>3</v>
      </c>
      <c r="C2604" t="s">
        <v>541</v>
      </c>
      <c r="D2604" t="s">
        <v>10</v>
      </c>
      <c r="E2604" t="s">
        <v>291</v>
      </c>
      <c r="F2604" t="s">
        <v>41</v>
      </c>
      <c r="G2604" t="s">
        <v>13</v>
      </c>
      <c r="I2604" s="42">
        <v>746.99</v>
      </c>
      <c r="J2604" s="42"/>
      <c r="K2604" s="42"/>
      <c r="L2604" s="42">
        <v>746.99</v>
      </c>
      <c r="N2604" s="42">
        <v>746.99</v>
      </c>
    </row>
    <row r="2605" spans="1:14" x14ac:dyDescent="0.25">
      <c r="A2605" s="1">
        <v>46098</v>
      </c>
      <c r="B2605">
        <v>3</v>
      </c>
      <c r="C2605" t="s">
        <v>541</v>
      </c>
      <c r="D2605" t="s">
        <v>10</v>
      </c>
      <c r="E2605" t="s">
        <v>216</v>
      </c>
      <c r="F2605" t="s">
        <v>217</v>
      </c>
      <c r="G2605" t="s">
        <v>13</v>
      </c>
      <c r="I2605" s="42">
        <v>746.99</v>
      </c>
      <c r="J2605" s="42"/>
      <c r="K2605" s="42"/>
      <c r="L2605" s="42">
        <v>746.99</v>
      </c>
      <c r="N2605" s="42">
        <v>746.99</v>
      </c>
    </row>
    <row r="2606" spans="1:14" x14ac:dyDescent="0.25">
      <c r="A2606" s="1">
        <v>46098</v>
      </c>
      <c r="B2606">
        <v>3</v>
      </c>
      <c r="C2606" t="s">
        <v>541</v>
      </c>
      <c r="D2606" t="s">
        <v>10</v>
      </c>
      <c r="E2606" t="s">
        <v>223</v>
      </c>
      <c r="F2606" t="s">
        <v>41</v>
      </c>
      <c r="G2606" t="s">
        <v>22</v>
      </c>
      <c r="I2606" s="42">
        <v>746.99</v>
      </c>
      <c r="J2606" s="42">
        <v>30</v>
      </c>
      <c r="K2606" s="42"/>
      <c r="L2606" s="42">
        <v>776.99</v>
      </c>
      <c r="N2606" s="42">
        <v>776.99</v>
      </c>
    </row>
    <row r="2607" spans="1:14" x14ac:dyDescent="0.25">
      <c r="A2607" s="1">
        <v>46098</v>
      </c>
      <c r="B2607">
        <v>3</v>
      </c>
      <c r="C2607" t="s">
        <v>541</v>
      </c>
      <c r="D2607" t="s">
        <v>10</v>
      </c>
      <c r="E2607" t="s">
        <v>225</v>
      </c>
      <c r="F2607" t="s">
        <v>217</v>
      </c>
      <c r="G2607" t="s">
        <v>22</v>
      </c>
      <c r="I2607" s="42">
        <v>746.99</v>
      </c>
      <c r="J2607" s="42">
        <v>28.01</v>
      </c>
      <c r="K2607" s="42"/>
      <c r="L2607" s="42">
        <v>775</v>
      </c>
      <c r="N2607" s="42">
        <v>775</v>
      </c>
    </row>
    <row r="2608" spans="1:14" x14ac:dyDescent="0.25">
      <c r="A2608" s="1">
        <v>46098</v>
      </c>
      <c r="B2608">
        <v>3</v>
      </c>
      <c r="C2608" t="s">
        <v>542</v>
      </c>
      <c r="D2608" t="s">
        <v>89</v>
      </c>
      <c r="E2608" t="s">
        <v>227</v>
      </c>
      <c r="F2608" t="s">
        <v>12</v>
      </c>
      <c r="G2608" t="s">
        <v>104</v>
      </c>
      <c r="I2608" s="42">
        <v>746</v>
      </c>
      <c r="J2608" s="42"/>
      <c r="K2608" s="42"/>
      <c r="L2608" s="42">
        <v>746</v>
      </c>
      <c r="N2608" s="42"/>
    </row>
    <row r="2609" spans="1:14" x14ac:dyDescent="0.25">
      <c r="A2609" s="1">
        <v>46098</v>
      </c>
      <c r="B2609">
        <v>3</v>
      </c>
      <c r="C2609" t="s">
        <v>541</v>
      </c>
      <c r="D2609" t="s">
        <v>10</v>
      </c>
      <c r="E2609" t="s">
        <v>229</v>
      </c>
      <c r="F2609" t="s">
        <v>230</v>
      </c>
      <c r="G2609" t="s">
        <v>22</v>
      </c>
      <c r="I2609" s="42">
        <v>746.99</v>
      </c>
      <c r="J2609" s="42"/>
      <c r="K2609" s="42"/>
      <c r="L2609" s="42">
        <v>746.99</v>
      </c>
      <c r="N2609" s="42">
        <v>746.99</v>
      </c>
    </row>
    <row r="2610" spans="1:14" x14ac:dyDescent="0.25">
      <c r="A2610" s="1">
        <v>46098</v>
      </c>
      <c r="B2610">
        <v>3</v>
      </c>
      <c r="C2610" t="s">
        <v>541</v>
      </c>
      <c r="D2610" t="s">
        <v>10</v>
      </c>
      <c r="E2610" t="s">
        <v>232</v>
      </c>
      <c r="F2610" t="s">
        <v>158</v>
      </c>
      <c r="G2610" t="s">
        <v>22</v>
      </c>
      <c r="I2610" s="42">
        <v>746.99</v>
      </c>
      <c r="J2610" s="42">
        <v>3.01</v>
      </c>
      <c r="K2610" s="42"/>
      <c r="L2610" s="42">
        <v>750</v>
      </c>
      <c r="N2610" s="42">
        <v>750</v>
      </c>
    </row>
    <row r="2611" spans="1:14" x14ac:dyDescent="0.25">
      <c r="A2611" s="1">
        <v>46098</v>
      </c>
      <c r="B2611">
        <v>3</v>
      </c>
      <c r="C2611" t="s">
        <v>542</v>
      </c>
      <c r="D2611" t="s">
        <v>136</v>
      </c>
      <c r="E2611" t="s">
        <v>236</v>
      </c>
      <c r="F2611" t="s">
        <v>158</v>
      </c>
      <c r="G2611" t="s">
        <v>104</v>
      </c>
      <c r="I2611" s="42">
        <v>746.99</v>
      </c>
      <c r="J2611" s="42"/>
      <c r="K2611" s="42"/>
      <c r="L2611" s="42">
        <v>746.99</v>
      </c>
      <c r="N2611" s="42"/>
    </row>
    <row r="2612" spans="1:14" x14ac:dyDescent="0.25">
      <c r="A2612" s="1">
        <v>46098</v>
      </c>
      <c r="B2612">
        <v>3</v>
      </c>
      <c r="C2612" t="s">
        <v>541</v>
      </c>
      <c r="D2612" t="s">
        <v>10</v>
      </c>
      <c r="E2612" t="s">
        <v>238</v>
      </c>
      <c r="F2612" t="s">
        <v>158</v>
      </c>
      <c r="G2612" t="s">
        <v>66</v>
      </c>
      <c r="I2612" s="42">
        <v>746.99</v>
      </c>
      <c r="J2612" s="42"/>
      <c r="K2612" s="42">
        <v>0.99</v>
      </c>
      <c r="L2612" s="42">
        <v>746</v>
      </c>
      <c r="N2612" s="42">
        <v>746</v>
      </c>
    </row>
    <row r="2613" spans="1:14" x14ac:dyDescent="0.25">
      <c r="A2613" s="1">
        <v>46098</v>
      </c>
      <c r="B2613">
        <v>3</v>
      </c>
      <c r="C2613" t="s">
        <v>541</v>
      </c>
      <c r="D2613" t="s">
        <v>10</v>
      </c>
      <c r="E2613" t="s">
        <v>242</v>
      </c>
      <c r="F2613" t="s">
        <v>217</v>
      </c>
      <c r="G2613" t="s">
        <v>13</v>
      </c>
      <c r="I2613" s="42">
        <v>745</v>
      </c>
      <c r="J2613" s="42"/>
      <c r="K2613" s="42"/>
      <c r="L2613" s="42">
        <v>745</v>
      </c>
      <c r="N2613" s="42"/>
    </row>
    <row r="2614" spans="1:14" x14ac:dyDescent="0.25">
      <c r="A2614" s="1">
        <v>46098</v>
      </c>
      <c r="B2614">
        <v>3</v>
      </c>
      <c r="C2614" t="s">
        <v>541</v>
      </c>
      <c r="D2614" t="s">
        <v>10</v>
      </c>
      <c r="E2614" t="s">
        <v>252</v>
      </c>
      <c r="F2614" t="s">
        <v>158</v>
      </c>
      <c r="G2614" t="s">
        <v>22</v>
      </c>
      <c r="I2614" s="42">
        <v>746.99</v>
      </c>
      <c r="J2614" s="42"/>
      <c r="K2614" s="42"/>
      <c r="L2614" s="42">
        <v>746.99</v>
      </c>
      <c r="N2614" s="42">
        <v>746.99</v>
      </c>
    </row>
    <row r="2615" spans="1:14" x14ac:dyDescent="0.25">
      <c r="A2615" s="1">
        <v>46098</v>
      </c>
      <c r="B2615">
        <v>3</v>
      </c>
      <c r="C2615" t="s">
        <v>541</v>
      </c>
      <c r="D2615" t="s">
        <v>10</v>
      </c>
      <c r="E2615" t="s">
        <v>254</v>
      </c>
      <c r="F2615" t="s">
        <v>255</v>
      </c>
      <c r="G2615" t="s">
        <v>66</v>
      </c>
      <c r="I2615" s="42">
        <v>851.99</v>
      </c>
      <c r="J2615" s="42"/>
      <c r="K2615" s="42">
        <v>1.99</v>
      </c>
      <c r="L2615" s="42">
        <v>850</v>
      </c>
      <c r="N2615" s="42">
        <v>850</v>
      </c>
    </row>
    <row r="2616" spans="1:14" x14ac:dyDescent="0.25">
      <c r="A2616" s="1">
        <v>46098</v>
      </c>
      <c r="B2616">
        <v>3</v>
      </c>
      <c r="C2616" t="s">
        <v>541</v>
      </c>
      <c r="D2616" t="s">
        <v>10</v>
      </c>
      <c r="E2616" t="s">
        <v>329</v>
      </c>
      <c r="F2616" t="s">
        <v>158</v>
      </c>
      <c r="G2616" t="s">
        <v>104</v>
      </c>
      <c r="I2616" s="42">
        <v>746.99</v>
      </c>
      <c r="J2616" s="42"/>
      <c r="K2616" s="42">
        <v>320.13</v>
      </c>
      <c r="L2616" s="42">
        <v>426.86</v>
      </c>
      <c r="N2616" s="42">
        <v>426.86</v>
      </c>
    </row>
    <row r="2617" spans="1:14" x14ac:dyDescent="0.25">
      <c r="A2617" s="1">
        <v>46098</v>
      </c>
      <c r="B2617">
        <v>3</v>
      </c>
      <c r="C2617" t="s">
        <v>541</v>
      </c>
      <c r="D2617" t="s">
        <v>10</v>
      </c>
      <c r="E2617" t="s">
        <v>259</v>
      </c>
      <c r="F2617" t="s">
        <v>260</v>
      </c>
      <c r="G2617" t="s">
        <v>261</v>
      </c>
      <c r="I2617" s="42">
        <v>881.99</v>
      </c>
      <c r="J2617" s="42"/>
      <c r="K2617" s="42"/>
      <c r="L2617" s="42">
        <v>881.99</v>
      </c>
      <c r="N2617" s="42">
        <v>881.99</v>
      </c>
    </row>
    <row r="2618" spans="1:14" x14ac:dyDescent="0.25">
      <c r="A2618" s="1">
        <v>46098</v>
      </c>
      <c r="B2618">
        <v>3</v>
      </c>
      <c r="C2618" t="s">
        <v>541</v>
      </c>
      <c r="D2618" t="s">
        <v>10</v>
      </c>
      <c r="E2618" t="s">
        <v>266</v>
      </c>
      <c r="F2618" t="s">
        <v>55</v>
      </c>
      <c r="G2618" t="s">
        <v>13</v>
      </c>
      <c r="I2618" s="42">
        <v>746.99</v>
      </c>
      <c r="J2618" s="42"/>
      <c r="K2618" s="42">
        <v>1.99</v>
      </c>
      <c r="L2618" s="42">
        <v>745</v>
      </c>
      <c r="N2618" s="42">
        <v>745</v>
      </c>
    </row>
    <row r="2619" spans="1:14" x14ac:dyDescent="0.25">
      <c r="A2619" s="1">
        <v>46098</v>
      </c>
      <c r="B2619">
        <v>3</v>
      </c>
      <c r="C2619" t="s">
        <v>541</v>
      </c>
      <c r="D2619" t="s">
        <v>10</v>
      </c>
      <c r="E2619" t="s">
        <v>270</v>
      </c>
      <c r="F2619" t="s">
        <v>12</v>
      </c>
      <c r="G2619" t="s">
        <v>13</v>
      </c>
      <c r="I2619" s="42">
        <v>746.99</v>
      </c>
      <c r="J2619" s="42"/>
      <c r="K2619" s="42"/>
      <c r="L2619" s="42">
        <v>746.99</v>
      </c>
      <c r="N2619" s="42">
        <v>746.99</v>
      </c>
    </row>
    <row r="2620" spans="1:14" x14ac:dyDescent="0.25">
      <c r="A2620" s="1">
        <v>46098</v>
      </c>
      <c r="B2620">
        <v>3</v>
      </c>
      <c r="C2620" t="s">
        <v>541</v>
      </c>
      <c r="D2620" t="s">
        <v>10</v>
      </c>
      <c r="E2620" t="s">
        <v>191</v>
      </c>
      <c r="F2620" t="s">
        <v>12</v>
      </c>
      <c r="G2620" t="s">
        <v>13</v>
      </c>
      <c r="I2620" s="42">
        <v>746.99</v>
      </c>
      <c r="J2620" s="42">
        <v>180</v>
      </c>
      <c r="K2620" s="42"/>
      <c r="L2620" s="42">
        <v>926.99</v>
      </c>
      <c r="N2620" s="42">
        <v>300</v>
      </c>
    </row>
    <row r="2621" spans="1:14" x14ac:dyDescent="0.25">
      <c r="A2621" s="1">
        <v>46098</v>
      </c>
      <c r="B2621">
        <v>3</v>
      </c>
      <c r="C2621" t="s">
        <v>541</v>
      </c>
      <c r="D2621" t="s">
        <v>10</v>
      </c>
      <c r="E2621" t="s">
        <v>274</v>
      </c>
      <c r="F2621" t="s">
        <v>52</v>
      </c>
      <c r="G2621" t="s">
        <v>77</v>
      </c>
      <c r="I2621" s="42">
        <v>1251.99</v>
      </c>
      <c r="J2621" s="42">
        <v>59.01</v>
      </c>
      <c r="K2621" s="42"/>
      <c r="L2621" s="42">
        <v>1311</v>
      </c>
      <c r="N2621" s="42">
        <v>1311</v>
      </c>
    </row>
    <row r="2622" spans="1:14" x14ac:dyDescent="0.25">
      <c r="A2622" s="1">
        <v>46098</v>
      </c>
      <c r="B2622">
        <v>3</v>
      </c>
      <c r="C2622" t="s">
        <v>541</v>
      </c>
      <c r="D2622" t="s">
        <v>10</v>
      </c>
      <c r="E2622" t="s">
        <v>276</v>
      </c>
      <c r="F2622" t="s">
        <v>277</v>
      </c>
      <c r="G2622" t="s">
        <v>13</v>
      </c>
      <c r="I2622" s="42">
        <v>746.99</v>
      </c>
      <c r="J2622" s="42">
        <v>38.01</v>
      </c>
      <c r="K2622" s="42"/>
      <c r="L2622" s="42">
        <v>785</v>
      </c>
      <c r="N2622" s="42">
        <v>785</v>
      </c>
    </row>
    <row r="2623" spans="1:14" x14ac:dyDescent="0.25">
      <c r="A2623" s="1">
        <v>46098</v>
      </c>
      <c r="B2623">
        <v>3</v>
      </c>
      <c r="C2623" t="s">
        <v>541</v>
      </c>
      <c r="D2623" t="s">
        <v>10</v>
      </c>
      <c r="E2623" t="s">
        <v>272</v>
      </c>
      <c r="F2623" t="s">
        <v>37</v>
      </c>
      <c r="G2623" t="s">
        <v>38</v>
      </c>
      <c r="I2623" s="42">
        <v>746.99</v>
      </c>
      <c r="J2623" s="42"/>
      <c r="K2623" s="42"/>
      <c r="L2623" s="42">
        <v>746.99</v>
      </c>
      <c r="N2623" s="42">
        <v>455</v>
      </c>
    </row>
    <row r="2624" spans="1:14" x14ac:dyDescent="0.25">
      <c r="A2624" s="1">
        <v>46098</v>
      </c>
      <c r="B2624">
        <v>3</v>
      </c>
      <c r="C2624" t="s">
        <v>541</v>
      </c>
      <c r="D2624" t="s">
        <v>10</v>
      </c>
      <c r="E2624" t="s">
        <v>285</v>
      </c>
      <c r="F2624" t="s">
        <v>76</v>
      </c>
      <c r="G2624" t="s">
        <v>77</v>
      </c>
      <c r="I2624" s="42">
        <v>1451.99</v>
      </c>
      <c r="J2624" s="42">
        <v>28.01</v>
      </c>
      <c r="K2624" s="42"/>
      <c r="L2624" s="42">
        <v>1480</v>
      </c>
      <c r="N2624" s="42">
        <v>1480</v>
      </c>
    </row>
    <row r="2625" spans="1:14" x14ac:dyDescent="0.25">
      <c r="A2625" s="1">
        <v>46098</v>
      </c>
      <c r="B2625">
        <v>3</v>
      </c>
      <c r="C2625" t="s">
        <v>541</v>
      </c>
      <c r="D2625" t="s">
        <v>10</v>
      </c>
      <c r="E2625" t="s">
        <v>293</v>
      </c>
      <c r="F2625" t="s">
        <v>294</v>
      </c>
      <c r="G2625" t="s">
        <v>13</v>
      </c>
      <c r="I2625" s="42">
        <v>746.99</v>
      </c>
      <c r="J2625" s="42"/>
      <c r="K2625" s="42"/>
      <c r="L2625" s="42">
        <v>746.99</v>
      </c>
      <c r="N2625" s="42"/>
    </row>
    <row r="2626" spans="1:14" x14ac:dyDescent="0.25">
      <c r="A2626" s="1">
        <v>46098</v>
      </c>
      <c r="B2626">
        <v>3</v>
      </c>
      <c r="C2626" t="s">
        <v>541</v>
      </c>
      <c r="D2626" t="s">
        <v>10</v>
      </c>
      <c r="E2626" t="s">
        <v>295</v>
      </c>
      <c r="F2626" t="s">
        <v>33</v>
      </c>
      <c r="G2626" t="s">
        <v>13</v>
      </c>
      <c r="I2626" s="42">
        <v>851.99</v>
      </c>
      <c r="J2626" s="42">
        <v>60</v>
      </c>
      <c r="K2626" s="42"/>
      <c r="L2626" s="42">
        <v>911.99</v>
      </c>
      <c r="N2626" s="42">
        <v>911.99</v>
      </c>
    </row>
    <row r="2627" spans="1:14" x14ac:dyDescent="0.25">
      <c r="A2627" s="1">
        <v>46098</v>
      </c>
      <c r="B2627">
        <v>3</v>
      </c>
      <c r="C2627" t="s">
        <v>542</v>
      </c>
      <c r="D2627" t="s">
        <v>89</v>
      </c>
      <c r="E2627" t="s">
        <v>108</v>
      </c>
      <c r="F2627" t="s">
        <v>55</v>
      </c>
      <c r="G2627" t="s">
        <v>104</v>
      </c>
      <c r="I2627" s="42">
        <v>746.99</v>
      </c>
      <c r="J2627" s="42"/>
      <c r="K2627" s="42"/>
      <c r="L2627" s="42">
        <v>746.99</v>
      </c>
      <c r="N2627" s="42"/>
    </row>
    <row r="2628" spans="1:14" x14ac:dyDescent="0.25">
      <c r="A2628" s="1">
        <v>46098</v>
      </c>
      <c r="B2628">
        <v>3</v>
      </c>
      <c r="C2628" t="s">
        <v>541</v>
      </c>
      <c r="D2628" t="s">
        <v>10</v>
      </c>
      <c r="E2628" t="s">
        <v>209</v>
      </c>
      <c r="F2628" t="s">
        <v>33</v>
      </c>
      <c r="G2628" t="s">
        <v>13</v>
      </c>
      <c r="I2628" s="42">
        <v>851.99</v>
      </c>
      <c r="J2628" s="42">
        <v>60</v>
      </c>
      <c r="K2628" s="42"/>
      <c r="L2628" s="42">
        <v>911.99</v>
      </c>
      <c r="N2628" s="42">
        <v>911.99</v>
      </c>
    </row>
    <row r="2629" spans="1:14" x14ac:dyDescent="0.25">
      <c r="A2629" s="1">
        <v>46098</v>
      </c>
      <c r="B2629">
        <v>3</v>
      </c>
      <c r="C2629" t="s">
        <v>541</v>
      </c>
      <c r="D2629" t="s">
        <v>10</v>
      </c>
      <c r="E2629" t="s">
        <v>341</v>
      </c>
      <c r="F2629" t="s">
        <v>52</v>
      </c>
      <c r="G2629" t="s">
        <v>183</v>
      </c>
      <c r="I2629" s="42">
        <v>1251.99</v>
      </c>
      <c r="J2629" s="42"/>
      <c r="K2629" s="42"/>
      <c r="L2629" s="42">
        <v>1251.99</v>
      </c>
      <c r="N2629" s="42">
        <v>1251.99</v>
      </c>
    </row>
    <row r="2630" spans="1:14" x14ac:dyDescent="0.25">
      <c r="A2630" s="1">
        <v>46098</v>
      </c>
      <c r="B2630">
        <v>3</v>
      </c>
      <c r="C2630" t="s">
        <v>542</v>
      </c>
      <c r="D2630" t="s">
        <v>99</v>
      </c>
      <c r="E2630" t="s">
        <v>175</v>
      </c>
      <c r="F2630" t="s">
        <v>52</v>
      </c>
      <c r="G2630" t="s">
        <v>77</v>
      </c>
      <c r="I2630" s="42">
        <v>1251.99</v>
      </c>
      <c r="J2630" s="42"/>
      <c r="K2630" s="42"/>
      <c r="L2630" s="42">
        <v>1251.99</v>
      </c>
      <c r="N2630" s="42"/>
    </row>
    <row r="2631" spans="1:14" x14ac:dyDescent="0.25">
      <c r="A2631" s="1">
        <v>46098</v>
      </c>
      <c r="B2631">
        <v>3</v>
      </c>
      <c r="C2631" t="s">
        <v>541</v>
      </c>
      <c r="D2631" t="s">
        <v>10</v>
      </c>
      <c r="E2631" t="s">
        <v>342</v>
      </c>
      <c r="F2631" t="s">
        <v>41</v>
      </c>
      <c r="G2631" t="s">
        <v>13</v>
      </c>
      <c r="I2631" s="42">
        <v>746.99</v>
      </c>
      <c r="J2631" s="42"/>
      <c r="K2631" s="42"/>
      <c r="L2631" s="42">
        <v>746.99</v>
      </c>
      <c r="N2631" s="42">
        <v>746.99</v>
      </c>
    </row>
    <row r="2632" spans="1:14" x14ac:dyDescent="0.25">
      <c r="A2632" s="1">
        <v>46098</v>
      </c>
      <c r="B2632">
        <v>3</v>
      </c>
      <c r="C2632" t="s">
        <v>541</v>
      </c>
      <c r="D2632" t="s">
        <v>10</v>
      </c>
      <c r="E2632" t="s">
        <v>221</v>
      </c>
      <c r="F2632" t="s">
        <v>37</v>
      </c>
      <c r="G2632" t="s">
        <v>70</v>
      </c>
      <c r="I2632" s="42">
        <v>746.99</v>
      </c>
      <c r="J2632" s="42"/>
      <c r="K2632" s="42"/>
      <c r="L2632" s="42">
        <v>746.99</v>
      </c>
      <c r="N2632" s="42">
        <v>746.99</v>
      </c>
    </row>
    <row r="2633" spans="1:14" x14ac:dyDescent="0.25">
      <c r="A2633" s="1">
        <v>46098</v>
      </c>
      <c r="B2633">
        <v>3</v>
      </c>
      <c r="C2633" t="s">
        <v>541</v>
      </c>
      <c r="D2633" t="s">
        <v>10</v>
      </c>
      <c r="E2633" t="s">
        <v>24</v>
      </c>
      <c r="F2633" t="s">
        <v>25</v>
      </c>
      <c r="G2633" t="s">
        <v>13</v>
      </c>
      <c r="I2633" s="42">
        <v>1351.99</v>
      </c>
      <c r="J2633" s="42"/>
      <c r="K2633" s="42">
        <v>1.99</v>
      </c>
      <c r="L2633" s="42">
        <v>1350</v>
      </c>
      <c r="N2633" s="42">
        <v>1350</v>
      </c>
    </row>
    <row r="2634" spans="1:14" x14ac:dyDescent="0.25">
      <c r="A2634" s="1">
        <v>46098</v>
      </c>
      <c r="B2634">
        <v>3</v>
      </c>
      <c r="C2634" t="s">
        <v>541</v>
      </c>
      <c r="D2634" t="s">
        <v>10</v>
      </c>
      <c r="E2634" t="s">
        <v>164</v>
      </c>
      <c r="F2634" t="s">
        <v>12</v>
      </c>
      <c r="G2634" t="s">
        <v>13</v>
      </c>
      <c r="I2634" s="42">
        <v>746.99</v>
      </c>
      <c r="J2634" s="42"/>
      <c r="K2634" s="42"/>
      <c r="L2634" s="42">
        <v>746.99</v>
      </c>
      <c r="N2634" s="42">
        <v>746.99</v>
      </c>
    </row>
    <row r="2635" spans="1:14" x14ac:dyDescent="0.25">
      <c r="A2635" s="1">
        <v>46098</v>
      </c>
      <c r="B2635">
        <v>3</v>
      </c>
      <c r="C2635" t="s">
        <v>541</v>
      </c>
      <c r="D2635" t="s">
        <v>10</v>
      </c>
      <c r="E2635" t="s">
        <v>318</v>
      </c>
      <c r="F2635" t="s">
        <v>12</v>
      </c>
      <c r="G2635" t="s">
        <v>13</v>
      </c>
      <c r="I2635" s="42">
        <v>746.99</v>
      </c>
      <c r="J2635" s="42">
        <v>3.01</v>
      </c>
      <c r="K2635" s="42"/>
      <c r="L2635" s="42">
        <v>750</v>
      </c>
      <c r="N2635" s="42">
        <v>750</v>
      </c>
    </row>
    <row r="2636" spans="1:14" x14ac:dyDescent="0.25">
      <c r="A2636" s="1">
        <v>46098</v>
      </c>
      <c r="B2636">
        <v>3</v>
      </c>
      <c r="C2636" t="s">
        <v>542</v>
      </c>
      <c r="D2636" t="s">
        <v>99</v>
      </c>
      <c r="E2636" t="s">
        <v>713</v>
      </c>
      <c r="F2636" t="s">
        <v>41</v>
      </c>
      <c r="G2636" t="s">
        <v>714</v>
      </c>
      <c r="I2636" s="42">
        <v>746.99</v>
      </c>
      <c r="J2636" s="42"/>
      <c r="K2636" s="42"/>
      <c r="L2636" s="42">
        <v>746.99</v>
      </c>
      <c r="N2636" s="42"/>
    </row>
    <row r="2637" spans="1:14" x14ac:dyDescent="0.25">
      <c r="A2637" s="1">
        <v>46098</v>
      </c>
      <c r="B2637">
        <v>3</v>
      </c>
      <c r="C2637" t="s">
        <v>541</v>
      </c>
      <c r="D2637" t="s">
        <v>10</v>
      </c>
      <c r="E2637" t="s">
        <v>324</v>
      </c>
      <c r="F2637" t="s">
        <v>158</v>
      </c>
      <c r="G2637" t="s">
        <v>13</v>
      </c>
      <c r="I2637" s="42">
        <v>746.99</v>
      </c>
      <c r="J2637" s="42"/>
      <c r="K2637" s="42"/>
      <c r="L2637" s="42">
        <v>746.99</v>
      </c>
      <c r="N2637" s="42">
        <v>746.99</v>
      </c>
    </row>
    <row r="2638" spans="1:14" x14ac:dyDescent="0.25">
      <c r="A2638" s="1">
        <v>46098</v>
      </c>
      <c r="B2638">
        <v>3</v>
      </c>
      <c r="C2638" t="s">
        <v>541</v>
      </c>
      <c r="D2638" t="s">
        <v>10</v>
      </c>
      <c r="E2638" t="s">
        <v>124</v>
      </c>
      <c r="F2638" t="s">
        <v>52</v>
      </c>
      <c r="G2638" t="s">
        <v>77</v>
      </c>
      <c r="I2638" s="42">
        <v>1251.99</v>
      </c>
      <c r="J2638" s="42">
        <v>30</v>
      </c>
      <c r="K2638" s="42"/>
      <c r="L2638" s="42">
        <v>1281.99</v>
      </c>
      <c r="N2638" s="42">
        <v>1281.99</v>
      </c>
    </row>
    <row r="2639" spans="1:14" x14ac:dyDescent="0.25">
      <c r="A2639" s="1">
        <v>46098</v>
      </c>
      <c r="B2639">
        <v>3</v>
      </c>
      <c r="C2639" t="s">
        <v>541</v>
      </c>
      <c r="D2639" t="s">
        <v>10</v>
      </c>
      <c r="E2639" t="s">
        <v>279</v>
      </c>
      <c r="F2639" t="s">
        <v>55</v>
      </c>
      <c r="G2639" t="s">
        <v>56</v>
      </c>
      <c r="I2639" s="42">
        <v>746.99</v>
      </c>
      <c r="J2639" s="42">
        <v>3.01</v>
      </c>
      <c r="K2639" s="42"/>
      <c r="L2639" s="42">
        <v>750</v>
      </c>
      <c r="N2639" s="42">
        <v>750</v>
      </c>
    </row>
    <row r="2640" spans="1:14" x14ac:dyDescent="0.25">
      <c r="A2640" s="1">
        <v>46098</v>
      </c>
      <c r="B2640">
        <v>3</v>
      </c>
      <c r="C2640" t="s">
        <v>541</v>
      </c>
      <c r="D2640" t="s">
        <v>10</v>
      </c>
      <c r="E2640" t="s">
        <v>302</v>
      </c>
      <c r="F2640" t="s">
        <v>37</v>
      </c>
      <c r="G2640" t="s">
        <v>13</v>
      </c>
      <c r="I2640" s="42">
        <v>746.99</v>
      </c>
      <c r="J2640" s="42"/>
      <c r="K2640" s="42"/>
      <c r="L2640" s="42">
        <v>1341.99</v>
      </c>
      <c r="N2640" s="42">
        <v>746.99</v>
      </c>
    </row>
    <row r="2641" spans="1:14" x14ac:dyDescent="0.25">
      <c r="A2641" s="1">
        <v>46098</v>
      </c>
      <c r="B2641">
        <v>3</v>
      </c>
      <c r="C2641" t="s">
        <v>541</v>
      </c>
      <c r="D2641" t="s">
        <v>10</v>
      </c>
      <c r="E2641" t="s">
        <v>240</v>
      </c>
      <c r="F2641" t="s">
        <v>158</v>
      </c>
      <c r="G2641" t="s">
        <v>111</v>
      </c>
      <c r="I2641" s="42">
        <v>746.99</v>
      </c>
      <c r="J2641" s="42"/>
      <c r="K2641" s="42"/>
      <c r="L2641" s="42">
        <v>1341.99</v>
      </c>
      <c r="N2641" s="42">
        <v>746.99</v>
      </c>
    </row>
    <row r="2642" spans="1:14" x14ac:dyDescent="0.25">
      <c r="A2642" s="1">
        <v>46098</v>
      </c>
      <c r="B2642">
        <v>3</v>
      </c>
      <c r="C2642" t="s">
        <v>542</v>
      </c>
      <c r="D2642" t="s">
        <v>99</v>
      </c>
      <c r="E2642" t="s">
        <v>323</v>
      </c>
      <c r="F2642" t="s">
        <v>158</v>
      </c>
      <c r="G2642" t="s">
        <v>13</v>
      </c>
      <c r="I2642" s="42">
        <v>746.99</v>
      </c>
      <c r="J2642" s="42"/>
      <c r="K2642" s="42"/>
      <c r="L2642" s="42">
        <v>746.99</v>
      </c>
      <c r="N2642" s="42"/>
    </row>
    <row r="2643" spans="1:14" x14ac:dyDescent="0.25">
      <c r="A2643" s="1">
        <v>46098</v>
      </c>
      <c r="B2643">
        <v>3</v>
      </c>
      <c r="C2643" t="s">
        <v>541</v>
      </c>
      <c r="D2643" t="s">
        <v>10</v>
      </c>
      <c r="E2643" t="s">
        <v>320</v>
      </c>
      <c r="F2643" t="s">
        <v>55</v>
      </c>
      <c r="G2643" t="s">
        <v>13</v>
      </c>
      <c r="I2643" s="42">
        <v>746.99</v>
      </c>
      <c r="J2643" s="42"/>
      <c r="K2643" s="42"/>
      <c r="L2643" s="42">
        <v>746.99</v>
      </c>
      <c r="N2643" s="42"/>
    </row>
    <row r="2644" spans="1:14" x14ac:dyDescent="0.25">
      <c r="A2644" s="1">
        <v>46098</v>
      </c>
      <c r="B2644">
        <v>3</v>
      </c>
      <c r="C2644" t="s">
        <v>541</v>
      </c>
      <c r="D2644" t="s">
        <v>10</v>
      </c>
      <c r="E2644" t="s">
        <v>205</v>
      </c>
      <c r="F2644" t="s">
        <v>33</v>
      </c>
      <c r="G2644" t="s">
        <v>13</v>
      </c>
      <c r="I2644" s="42">
        <v>851.99</v>
      </c>
      <c r="J2644" s="42"/>
      <c r="K2644" s="42"/>
      <c r="L2644" s="42">
        <v>1346.99</v>
      </c>
      <c r="N2644" s="42">
        <v>851.99</v>
      </c>
    </row>
    <row r="2645" spans="1:14" x14ac:dyDescent="0.25">
      <c r="A2645" s="1">
        <v>46098</v>
      </c>
      <c r="B2645">
        <v>3</v>
      </c>
      <c r="C2645" t="s">
        <v>542</v>
      </c>
      <c r="D2645" t="s">
        <v>89</v>
      </c>
      <c r="E2645" t="s">
        <v>235</v>
      </c>
      <c r="F2645" t="s">
        <v>158</v>
      </c>
      <c r="G2645" t="s">
        <v>104</v>
      </c>
      <c r="I2645" s="42">
        <v>746.99</v>
      </c>
      <c r="J2645" s="42"/>
      <c r="K2645" s="42"/>
      <c r="L2645" s="42">
        <v>746.99</v>
      </c>
      <c r="N2645" s="42"/>
    </row>
    <row r="2646" spans="1:14" x14ac:dyDescent="0.25">
      <c r="A2646" s="1">
        <v>46098</v>
      </c>
      <c r="B2646">
        <v>3</v>
      </c>
      <c r="C2646" t="s">
        <v>541</v>
      </c>
      <c r="D2646" t="s">
        <v>10</v>
      </c>
      <c r="E2646" t="s">
        <v>115</v>
      </c>
      <c r="F2646" t="s">
        <v>116</v>
      </c>
      <c r="G2646" t="s">
        <v>13</v>
      </c>
      <c r="I2646" s="42">
        <v>746.99</v>
      </c>
      <c r="J2646" s="42"/>
      <c r="K2646" s="42"/>
      <c r="L2646" s="42">
        <v>1296.99</v>
      </c>
      <c r="N2646" s="42">
        <v>746.99</v>
      </c>
    </row>
    <row r="2647" spans="1:14" x14ac:dyDescent="0.25">
      <c r="A2647" s="1">
        <v>46098</v>
      </c>
      <c r="B2647">
        <v>3</v>
      </c>
      <c r="C2647" t="s">
        <v>542</v>
      </c>
      <c r="D2647" t="s">
        <v>89</v>
      </c>
      <c r="E2647" t="s">
        <v>93</v>
      </c>
      <c r="F2647" t="s">
        <v>94</v>
      </c>
      <c r="G2647" t="s">
        <v>95</v>
      </c>
      <c r="I2647" s="42">
        <v>746.99</v>
      </c>
      <c r="J2647" s="42"/>
      <c r="K2647" s="42"/>
      <c r="L2647" s="42">
        <v>746.99</v>
      </c>
      <c r="N2647" s="42"/>
    </row>
    <row r="2648" spans="1:14" x14ac:dyDescent="0.25">
      <c r="A2648" s="1">
        <v>46098</v>
      </c>
      <c r="B2648">
        <v>3</v>
      </c>
      <c r="C2648" t="s">
        <v>542</v>
      </c>
      <c r="D2648" t="s">
        <v>336</v>
      </c>
      <c r="E2648" t="s">
        <v>100</v>
      </c>
      <c r="F2648" t="s">
        <v>101</v>
      </c>
      <c r="G2648" t="s">
        <v>13</v>
      </c>
      <c r="I2648" s="42">
        <v>1351.99</v>
      </c>
      <c r="J2648" s="42"/>
      <c r="K2648" s="42"/>
      <c r="L2648" s="42">
        <v>1351.99</v>
      </c>
      <c r="N2648" s="42"/>
    </row>
    <row r="2649" spans="1:14" x14ac:dyDescent="0.25">
      <c r="A2649" s="1">
        <v>46098</v>
      </c>
      <c r="B2649">
        <v>3</v>
      </c>
      <c r="C2649" t="s">
        <v>542</v>
      </c>
      <c r="D2649" t="s">
        <v>336</v>
      </c>
      <c r="E2649" t="s">
        <v>171</v>
      </c>
      <c r="F2649" t="s">
        <v>52</v>
      </c>
      <c r="G2649" t="s">
        <v>13</v>
      </c>
      <c r="I2649" s="42">
        <v>1251.99</v>
      </c>
      <c r="J2649" s="42"/>
      <c r="K2649" s="42"/>
      <c r="L2649" s="42">
        <v>1251.99</v>
      </c>
      <c r="N2649" s="42"/>
    </row>
    <row r="2650" spans="1:14" x14ac:dyDescent="0.25">
      <c r="A2650" s="1">
        <v>46098</v>
      </c>
      <c r="B2650">
        <v>3</v>
      </c>
      <c r="C2650" t="s">
        <v>541</v>
      </c>
      <c r="D2650" t="s">
        <v>10</v>
      </c>
      <c r="E2650" t="s">
        <v>344</v>
      </c>
      <c r="F2650" t="s">
        <v>116</v>
      </c>
      <c r="G2650" t="s">
        <v>13</v>
      </c>
      <c r="I2650" s="42">
        <v>746.99</v>
      </c>
      <c r="J2650" s="42"/>
      <c r="K2650" s="42"/>
      <c r="L2650" s="42">
        <v>746.99</v>
      </c>
      <c r="N2650" s="42">
        <v>746.99</v>
      </c>
    </row>
    <row r="2651" spans="1:14" x14ac:dyDescent="0.25">
      <c r="A2651" s="1">
        <v>46098</v>
      </c>
      <c r="B2651">
        <v>3</v>
      </c>
      <c r="C2651" t="s">
        <v>542</v>
      </c>
      <c r="D2651" t="s">
        <v>336</v>
      </c>
      <c r="E2651" t="s">
        <v>49</v>
      </c>
      <c r="F2651" t="s">
        <v>12</v>
      </c>
      <c r="G2651" t="s">
        <v>13</v>
      </c>
      <c r="I2651" s="42">
        <v>746.99</v>
      </c>
      <c r="J2651" s="42"/>
      <c r="K2651" s="42"/>
      <c r="L2651" s="42">
        <v>746.99</v>
      </c>
      <c r="N2651" s="42"/>
    </row>
    <row r="2652" spans="1:14" x14ac:dyDescent="0.25">
      <c r="A2652" s="1">
        <v>46098</v>
      </c>
      <c r="B2652">
        <v>3</v>
      </c>
      <c r="C2652" t="s">
        <v>542</v>
      </c>
      <c r="D2652" t="s">
        <v>99</v>
      </c>
      <c r="E2652" t="s">
        <v>287</v>
      </c>
      <c r="F2652" t="s">
        <v>52</v>
      </c>
      <c r="G2652" t="s">
        <v>77</v>
      </c>
      <c r="I2652" s="42">
        <v>1251.99</v>
      </c>
      <c r="J2652" s="42"/>
      <c r="K2652" s="42"/>
      <c r="L2652" s="42">
        <v>1251.99</v>
      </c>
      <c r="N2652" s="42"/>
    </row>
    <row r="2653" spans="1:14" x14ac:dyDescent="0.25">
      <c r="A2653" s="1">
        <v>46098</v>
      </c>
      <c r="B2653">
        <v>3</v>
      </c>
      <c r="D2653" t="s">
        <v>336</v>
      </c>
      <c r="E2653" t="s">
        <v>315</v>
      </c>
      <c r="F2653" t="s">
        <v>41</v>
      </c>
      <c r="G2653" t="s">
        <v>111</v>
      </c>
      <c r="I2653" s="42">
        <v>746.99</v>
      </c>
      <c r="J2653" s="42"/>
      <c r="K2653" s="42"/>
      <c r="L2653" s="42">
        <v>746.99</v>
      </c>
      <c r="N2653" s="42"/>
    </row>
    <row r="2654" spans="1:14" x14ac:dyDescent="0.25">
      <c r="A2654" s="1">
        <v>46098</v>
      </c>
      <c r="B2654">
        <v>3</v>
      </c>
      <c r="C2654" t="s">
        <v>542</v>
      </c>
      <c r="D2654" t="s">
        <v>336</v>
      </c>
      <c r="E2654" t="s">
        <v>173</v>
      </c>
      <c r="F2654" t="s">
        <v>52</v>
      </c>
      <c r="G2654" t="s">
        <v>77</v>
      </c>
      <c r="I2654" s="42">
        <v>1251.99</v>
      </c>
      <c r="J2654" s="42"/>
      <c r="K2654" s="42"/>
      <c r="L2654" s="42">
        <v>1251.99</v>
      </c>
      <c r="M2654" s="37">
        <v>6000</v>
      </c>
      <c r="N2654" s="42"/>
    </row>
    <row r="2655" spans="1:14" x14ac:dyDescent="0.25">
      <c r="A2655" s="1">
        <v>46098</v>
      </c>
      <c r="B2655">
        <v>3</v>
      </c>
      <c r="C2655" t="s">
        <v>542</v>
      </c>
      <c r="D2655" t="s">
        <v>99</v>
      </c>
      <c r="E2655" t="s">
        <v>319</v>
      </c>
      <c r="F2655" t="s">
        <v>158</v>
      </c>
      <c r="G2655" t="s">
        <v>13</v>
      </c>
      <c r="I2655" s="42">
        <v>746.99</v>
      </c>
      <c r="J2655" s="42"/>
      <c r="K2655" s="42"/>
      <c r="L2655" s="42">
        <v>746.99</v>
      </c>
      <c r="N2655" s="42"/>
    </row>
    <row r="2656" spans="1:14" x14ac:dyDescent="0.25">
      <c r="A2656" s="1">
        <v>46098</v>
      </c>
      <c r="B2656">
        <v>3</v>
      </c>
      <c r="C2656" t="s">
        <v>542</v>
      </c>
      <c r="D2656" t="s">
        <v>99</v>
      </c>
      <c r="E2656" t="s">
        <v>325</v>
      </c>
      <c r="F2656" t="s">
        <v>158</v>
      </c>
      <c r="G2656" t="s">
        <v>13</v>
      </c>
      <c r="I2656" s="42">
        <v>746.99</v>
      </c>
      <c r="J2656" s="42"/>
      <c r="K2656" s="42"/>
      <c r="L2656" s="42">
        <v>746.99</v>
      </c>
      <c r="N2656" s="42"/>
    </row>
    <row r="2657" spans="1:14" x14ac:dyDescent="0.25">
      <c r="A2657" s="1">
        <v>46098</v>
      </c>
      <c r="B2657">
        <v>3</v>
      </c>
      <c r="C2657" t="s">
        <v>542</v>
      </c>
      <c r="D2657" t="s">
        <v>99</v>
      </c>
      <c r="E2657" t="s">
        <v>334</v>
      </c>
      <c r="F2657" t="s">
        <v>28</v>
      </c>
      <c r="G2657" t="s">
        <v>13</v>
      </c>
      <c r="I2657" s="42">
        <v>931.99</v>
      </c>
      <c r="J2657" s="42"/>
      <c r="K2657" s="42"/>
      <c r="L2657" s="42">
        <v>931.99</v>
      </c>
      <c r="N2657" s="42"/>
    </row>
    <row r="2658" spans="1:14" x14ac:dyDescent="0.25">
      <c r="A2658" s="1">
        <v>46098</v>
      </c>
      <c r="B2658">
        <v>3</v>
      </c>
      <c r="C2658" t="s">
        <v>542</v>
      </c>
      <c r="D2658" t="s">
        <v>336</v>
      </c>
      <c r="E2658" t="s">
        <v>337</v>
      </c>
      <c r="F2658" t="s">
        <v>41</v>
      </c>
      <c r="G2658" t="s">
        <v>13</v>
      </c>
      <c r="I2658" s="42">
        <v>746.99</v>
      </c>
      <c r="J2658" s="42"/>
      <c r="K2658" s="42"/>
      <c r="L2658" s="42">
        <v>746.99</v>
      </c>
      <c r="N2658" s="42"/>
    </row>
    <row r="2659" spans="1:14" x14ac:dyDescent="0.25">
      <c r="A2659" s="1">
        <v>46098</v>
      </c>
      <c r="B2659">
        <v>3</v>
      </c>
      <c r="C2659" t="s">
        <v>542</v>
      </c>
      <c r="D2659" t="s">
        <v>336</v>
      </c>
      <c r="E2659" t="s">
        <v>338</v>
      </c>
      <c r="F2659" t="s">
        <v>55</v>
      </c>
      <c r="G2659" t="s">
        <v>13</v>
      </c>
      <c r="I2659" s="42">
        <v>746.99</v>
      </c>
      <c r="J2659" s="42"/>
      <c r="K2659" s="42"/>
      <c r="L2659" s="42">
        <v>746.99</v>
      </c>
      <c r="N2659" s="42"/>
    </row>
    <row r="2660" spans="1:14" x14ac:dyDescent="0.25">
      <c r="A2660" s="1">
        <v>46098</v>
      </c>
      <c r="B2660">
        <v>3</v>
      </c>
      <c r="C2660" t="s">
        <v>541</v>
      </c>
      <c r="D2660" t="s">
        <v>10</v>
      </c>
      <c r="E2660" t="s">
        <v>345</v>
      </c>
      <c r="F2660" t="s">
        <v>12</v>
      </c>
      <c r="G2660" t="s">
        <v>346</v>
      </c>
      <c r="I2660" s="42">
        <v>746.99</v>
      </c>
      <c r="J2660" s="42"/>
      <c r="K2660" s="42"/>
      <c r="L2660" s="42">
        <v>746.99</v>
      </c>
      <c r="N2660" s="42">
        <v>746.99</v>
      </c>
    </row>
    <row r="2661" spans="1:14" x14ac:dyDescent="0.25">
      <c r="A2661" s="1">
        <v>46098</v>
      </c>
      <c r="B2661">
        <v>3</v>
      </c>
      <c r="C2661" t="s">
        <v>541</v>
      </c>
      <c r="D2661" t="s">
        <v>10</v>
      </c>
      <c r="E2661" t="s">
        <v>352</v>
      </c>
      <c r="F2661" t="s">
        <v>158</v>
      </c>
      <c r="G2661" t="s">
        <v>353</v>
      </c>
      <c r="I2661" s="42">
        <v>746.99</v>
      </c>
      <c r="J2661" s="42">
        <v>30</v>
      </c>
      <c r="K2661" s="42"/>
      <c r="L2661" s="42">
        <v>776.99</v>
      </c>
      <c r="N2661" s="42">
        <v>776.99</v>
      </c>
    </row>
    <row r="2662" spans="1:14" x14ac:dyDescent="0.25">
      <c r="A2662" s="1">
        <v>46098</v>
      </c>
      <c r="B2662">
        <v>3</v>
      </c>
      <c r="C2662" t="s">
        <v>541</v>
      </c>
      <c r="D2662" t="s">
        <v>10</v>
      </c>
      <c r="E2662" t="s">
        <v>354</v>
      </c>
      <c r="F2662" t="s">
        <v>230</v>
      </c>
      <c r="G2662" t="s">
        <v>346</v>
      </c>
      <c r="I2662" s="42">
        <v>746.99</v>
      </c>
      <c r="J2662" s="42">
        <v>0.01</v>
      </c>
      <c r="K2662" s="42"/>
      <c r="L2662" s="42">
        <v>747</v>
      </c>
      <c r="N2662" s="42">
        <v>747</v>
      </c>
    </row>
    <row r="2663" spans="1:14" x14ac:dyDescent="0.25">
      <c r="A2663" s="1">
        <v>46098</v>
      </c>
      <c r="B2663">
        <v>3</v>
      </c>
      <c r="C2663" t="s">
        <v>541</v>
      </c>
      <c r="D2663" t="s">
        <v>10</v>
      </c>
      <c r="E2663" t="s">
        <v>355</v>
      </c>
      <c r="F2663" t="s">
        <v>158</v>
      </c>
      <c r="G2663" t="s">
        <v>346</v>
      </c>
      <c r="I2663" s="42">
        <v>746.99</v>
      </c>
      <c r="J2663" s="42"/>
      <c r="K2663" s="42"/>
      <c r="L2663" s="42">
        <v>746.99</v>
      </c>
      <c r="N2663" s="42">
        <v>776.99</v>
      </c>
    </row>
    <row r="2664" spans="1:14" x14ac:dyDescent="0.25">
      <c r="A2664" s="1">
        <v>46098</v>
      </c>
      <c r="B2664">
        <v>3</v>
      </c>
      <c r="C2664" t="s">
        <v>541</v>
      </c>
      <c r="D2664" t="s">
        <v>10</v>
      </c>
      <c r="E2664" t="s">
        <v>356</v>
      </c>
      <c r="F2664" t="s">
        <v>158</v>
      </c>
      <c r="G2664" t="s">
        <v>346</v>
      </c>
      <c r="I2664" s="42">
        <v>746.99</v>
      </c>
      <c r="J2664" s="42"/>
      <c r="K2664" s="42"/>
      <c r="L2664" s="42">
        <v>991.99</v>
      </c>
      <c r="N2664" s="42">
        <v>746.99</v>
      </c>
    </row>
    <row r="2665" spans="1:14" x14ac:dyDescent="0.25">
      <c r="A2665" s="1">
        <v>46098</v>
      </c>
      <c r="B2665">
        <v>3</v>
      </c>
      <c r="C2665" t="s">
        <v>541</v>
      </c>
      <c r="D2665" t="s">
        <v>10</v>
      </c>
      <c r="E2665" t="s">
        <v>374</v>
      </c>
      <c r="F2665" t="s">
        <v>158</v>
      </c>
      <c r="G2665" t="s">
        <v>346</v>
      </c>
      <c r="I2665" s="42">
        <v>746.99</v>
      </c>
      <c r="J2665" s="42">
        <v>30.01</v>
      </c>
      <c r="K2665" s="42"/>
      <c r="L2665" s="42">
        <v>777</v>
      </c>
      <c r="N2665" s="42">
        <v>777</v>
      </c>
    </row>
    <row r="2666" spans="1:14" x14ac:dyDescent="0.25">
      <c r="A2666" s="1">
        <v>46098</v>
      </c>
      <c r="B2666">
        <v>3</v>
      </c>
      <c r="C2666" t="s">
        <v>541</v>
      </c>
      <c r="D2666" t="s">
        <v>10</v>
      </c>
      <c r="E2666" t="s">
        <v>358</v>
      </c>
      <c r="F2666" t="s">
        <v>52</v>
      </c>
      <c r="G2666" t="s">
        <v>359</v>
      </c>
      <c r="I2666" s="42">
        <v>1251.99</v>
      </c>
      <c r="J2666" s="42">
        <v>28.01</v>
      </c>
      <c r="K2666" s="42"/>
      <c r="L2666" s="42">
        <v>1280</v>
      </c>
      <c r="N2666" s="42">
        <v>1280</v>
      </c>
    </row>
    <row r="2667" spans="1:14" x14ac:dyDescent="0.25">
      <c r="A2667" s="1">
        <v>46098</v>
      </c>
      <c r="B2667">
        <v>3</v>
      </c>
      <c r="C2667" t="s">
        <v>541</v>
      </c>
      <c r="D2667" t="s">
        <v>10</v>
      </c>
      <c r="E2667" t="s">
        <v>360</v>
      </c>
      <c r="F2667" t="s">
        <v>211</v>
      </c>
      <c r="G2667" t="s">
        <v>346</v>
      </c>
      <c r="I2667" s="42">
        <v>746.99</v>
      </c>
      <c r="J2667" s="42">
        <v>1.49</v>
      </c>
      <c r="K2667" s="42"/>
      <c r="L2667" s="42">
        <v>748.48</v>
      </c>
      <c r="N2667" s="42">
        <v>745.5</v>
      </c>
    </row>
    <row r="2668" spans="1:14" x14ac:dyDescent="0.25">
      <c r="A2668" s="1">
        <v>46098</v>
      </c>
      <c r="B2668">
        <v>3</v>
      </c>
      <c r="C2668" t="s">
        <v>541</v>
      </c>
      <c r="D2668" t="s">
        <v>10</v>
      </c>
      <c r="E2668" t="s">
        <v>361</v>
      </c>
      <c r="F2668" t="s">
        <v>52</v>
      </c>
      <c r="G2668" t="s">
        <v>346</v>
      </c>
      <c r="I2668" s="42">
        <v>1251.99</v>
      </c>
      <c r="J2668" s="42">
        <v>90.01</v>
      </c>
      <c r="K2668" s="42"/>
      <c r="L2668" s="42">
        <v>1342</v>
      </c>
      <c r="N2668" s="42">
        <v>1342</v>
      </c>
    </row>
    <row r="2669" spans="1:14" x14ac:dyDescent="0.25">
      <c r="A2669" s="1">
        <v>46098</v>
      </c>
      <c r="B2669">
        <v>3</v>
      </c>
      <c r="C2669" t="s">
        <v>541</v>
      </c>
      <c r="D2669" t="s">
        <v>10</v>
      </c>
      <c r="E2669" t="s">
        <v>364</v>
      </c>
      <c r="F2669" t="s">
        <v>365</v>
      </c>
      <c r="G2669" t="s">
        <v>346</v>
      </c>
      <c r="I2669" s="42">
        <v>801.99</v>
      </c>
      <c r="J2669" s="42">
        <v>30.01</v>
      </c>
      <c r="K2669" s="42"/>
      <c r="L2669" s="42">
        <v>832</v>
      </c>
      <c r="N2669" s="42">
        <v>832</v>
      </c>
    </row>
    <row r="2670" spans="1:14" x14ac:dyDescent="0.25">
      <c r="A2670" s="1">
        <v>46098</v>
      </c>
      <c r="B2670">
        <v>3</v>
      </c>
      <c r="C2670" t="s">
        <v>542</v>
      </c>
      <c r="D2670" t="s">
        <v>234</v>
      </c>
      <c r="E2670" t="s">
        <v>375</v>
      </c>
      <c r="F2670" t="s">
        <v>52</v>
      </c>
      <c r="G2670" t="s">
        <v>346</v>
      </c>
      <c r="I2670" s="42">
        <v>1251.99</v>
      </c>
      <c r="J2670" s="42"/>
      <c r="K2670" s="42"/>
      <c r="L2670" s="42">
        <v>1251.99</v>
      </c>
      <c r="N2670" s="42"/>
    </row>
    <row r="2671" spans="1:14" x14ac:dyDescent="0.25">
      <c r="A2671" s="1">
        <v>46098</v>
      </c>
      <c r="B2671">
        <v>3</v>
      </c>
      <c r="C2671" t="s">
        <v>542</v>
      </c>
      <c r="D2671" t="s">
        <v>99</v>
      </c>
      <c r="E2671" t="s">
        <v>376</v>
      </c>
      <c r="F2671" t="s">
        <v>52</v>
      </c>
      <c r="G2671" t="s">
        <v>346</v>
      </c>
      <c r="I2671" s="42">
        <v>1251.99</v>
      </c>
      <c r="J2671" s="42"/>
      <c r="K2671" s="42"/>
      <c r="L2671" s="42">
        <v>1251.99</v>
      </c>
      <c r="N2671" s="42"/>
    </row>
    <row r="2672" spans="1:14" x14ac:dyDescent="0.25">
      <c r="A2672" s="1">
        <v>46098</v>
      </c>
      <c r="B2672">
        <v>3</v>
      </c>
      <c r="C2672" t="s">
        <v>541</v>
      </c>
      <c r="D2672" t="s">
        <v>10</v>
      </c>
      <c r="E2672" t="s">
        <v>372</v>
      </c>
      <c r="F2672" t="s">
        <v>55</v>
      </c>
      <c r="G2672" t="s">
        <v>373</v>
      </c>
      <c r="I2672" s="42">
        <v>746.99</v>
      </c>
      <c r="J2672" s="42">
        <v>30</v>
      </c>
      <c r="K2672" s="42"/>
      <c r="L2672" s="42">
        <v>776.99</v>
      </c>
      <c r="N2672" s="42">
        <v>776.99</v>
      </c>
    </row>
    <row r="2673" spans="1:14" x14ac:dyDescent="0.25">
      <c r="A2673" s="1">
        <v>46098</v>
      </c>
      <c r="B2673">
        <v>3</v>
      </c>
      <c r="C2673" t="s">
        <v>541</v>
      </c>
      <c r="D2673" t="s">
        <v>10</v>
      </c>
      <c r="E2673" t="s">
        <v>704</v>
      </c>
      <c r="F2673" t="s">
        <v>69</v>
      </c>
      <c r="G2673" t="s">
        <v>705</v>
      </c>
      <c r="I2673" s="42">
        <v>746.99</v>
      </c>
      <c r="J2673" s="42">
        <v>32.01</v>
      </c>
      <c r="K2673" s="42"/>
      <c r="L2673" s="42">
        <v>779</v>
      </c>
      <c r="N2673" s="42">
        <v>779</v>
      </c>
    </row>
    <row r="2674" spans="1:14" x14ac:dyDescent="0.25">
      <c r="A2674" s="1">
        <v>46098</v>
      </c>
      <c r="B2674">
        <v>3</v>
      </c>
      <c r="C2674" t="s">
        <v>541</v>
      </c>
      <c r="D2674" t="s">
        <v>10</v>
      </c>
      <c r="E2674" t="s">
        <v>708</v>
      </c>
      <c r="F2674" t="s">
        <v>709</v>
      </c>
      <c r="G2674" t="s">
        <v>370</v>
      </c>
      <c r="I2674" s="42">
        <v>981.99</v>
      </c>
      <c r="J2674" s="42"/>
      <c r="K2674" s="42"/>
      <c r="L2674" s="42">
        <v>981.99</v>
      </c>
      <c r="N2674" s="42">
        <v>981.99</v>
      </c>
    </row>
    <row r="2675" spans="1:14" x14ac:dyDescent="0.25">
      <c r="A2675" s="1">
        <v>46098</v>
      </c>
      <c r="B2675">
        <v>3</v>
      </c>
      <c r="C2675" t="s">
        <v>541</v>
      </c>
      <c r="D2675" t="s">
        <v>10</v>
      </c>
      <c r="E2675" t="s">
        <v>468</v>
      </c>
      <c r="F2675" t="s">
        <v>469</v>
      </c>
      <c r="G2675" t="s">
        <v>346</v>
      </c>
      <c r="I2675" s="42">
        <v>1001.99</v>
      </c>
      <c r="J2675" s="42"/>
      <c r="K2675" s="42">
        <v>1.99</v>
      </c>
      <c r="L2675" s="42">
        <v>1000</v>
      </c>
      <c r="N2675" s="42">
        <v>1000</v>
      </c>
    </row>
    <row r="2676" spans="1:14" x14ac:dyDescent="0.25">
      <c r="A2676" s="1">
        <v>46098</v>
      </c>
      <c r="B2676">
        <v>3</v>
      </c>
      <c r="C2676" t="s">
        <v>541</v>
      </c>
      <c r="D2676" t="s">
        <v>48</v>
      </c>
      <c r="E2676" t="s">
        <v>466</v>
      </c>
      <c r="F2676" t="s">
        <v>33</v>
      </c>
      <c r="G2676" t="s">
        <v>467</v>
      </c>
      <c r="I2676" s="42">
        <v>851.99</v>
      </c>
      <c r="J2676" s="42"/>
      <c r="K2676" s="42"/>
      <c r="L2676" s="42">
        <v>851.99</v>
      </c>
      <c r="N2676" s="42"/>
    </row>
    <row r="2677" spans="1:14" x14ac:dyDescent="0.25">
      <c r="A2677" s="1">
        <v>46098</v>
      </c>
      <c r="B2677">
        <v>3</v>
      </c>
      <c r="C2677" t="s">
        <v>541</v>
      </c>
      <c r="D2677" t="s">
        <v>10</v>
      </c>
      <c r="E2677" t="s">
        <v>408</v>
      </c>
      <c r="F2677" t="s">
        <v>52</v>
      </c>
      <c r="G2677" t="s">
        <v>409</v>
      </c>
      <c r="I2677" s="42">
        <v>1251.99</v>
      </c>
      <c r="J2677" s="42">
        <v>0.01</v>
      </c>
      <c r="K2677" s="42"/>
      <c r="L2677" s="42">
        <v>1252</v>
      </c>
      <c r="N2677" s="42">
        <v>1252</v>
      </c>
    </row>
    <row r="2678" spans="1:14" x14ac:dyDescent="0.25">
      <c r="A2678" s="1">
        <v>46098</v>
      </c>
      <c r="B2678">
        <v>3</v>
      </c>
      <c r="C2678" t="s">
        <v>542</v>
      </c>
      <c r="D2678" t="s">
        <v>234</v>
      </c>
      <c r="E2678" t="s">
        <v>629</v>
      </c>
      <c r="F2678" t="s">
        <v>387</v>
      </c>
      <c r="G2678" t="s">
        <v>349</v>
      </c>
      <c r="I2678" s="42">
        <v>801.99</v>
      </c>
      <c r="J2678" s="42"/>
      <c r="K2678" s="42"/>
      <c r="L2678" s="42">
        <v>801.99</v>
      </c>
      <c r="N2678" s="42"/>
    </row>
    <row r="2679" spans="1:14" x14ac:dyDescent="0.25">
      <c r="A2679" s="1">
        <v>46098</v>
      </c>
      <c r="B2679">
        <v>3</v>
      </c>
      <c r="C2679" t="s">
        <v>541</v>
      </c>
      <c r="D2679" t="s">
        <v>10</v>
      </c>
      <c r="E2679" t="s">
        <v>711</v>
      </c>
      <c r="F2679" t="s">
        <v>383</v>
      </c>
      <c r="G2679" t="s">
        <v>370</v>
      </c>
      <c r="I2679" s="42">
        <v>991.99</v>
      </c>
      <c r="J2679" s="42"/>
      <c r="K2679" s="42"/>
      <c r="L2679" s="42">
        <v>991.99</v>
      </c>
      <c r="N2679" s="42">
        <v>991.99</v>
      </c>
    </row>
    <row r="2680" spans="1:14" x14ac:dyDescent="0.25">
      <c r="A2680" s="1">
        <v>46098</v>
      </c>
      <c r="B2680">
        <v>3</v>
      </c>
      <c r="C2680" t="s">
        <v>541</v>
      </c>
      <c r="D2680" t="s">
        <v>10</v>
      </c>
      <c r="E2680" t="s">
        <v>477</v>
      </c>
      <c r="F2680" t="s">
        <v>230</v>
      </c>
      <c r="G2680" t="s">
        <v>346</v>
      </c>
      <c r="I2680" s="42">
        <v>746.99</v>
      </c>
      <c r="J2680" s="42">
        <v>30</v>
      </c>
      <c r="K2680" s="42"/>
      <c r="L2680" s="42">
        <v>776.99</v>
      </c>
      <c r="N2680" s="42">
        <v>776.99</v>
      </c>
    </row>
    <row r="2681" spans="1:14" x14ac:dyDescent="0.25">
      <c r="A2681" s="1">
        <v>46098</v>
      </c>
      <c r="B2681">
        <v>3</v>
      </c>
      <c r="C2681" t="s">
        <v>541</v>
      </c>
      <c r="D2681" t="s">
        <v>10</v>
      </c>
      <c r="E2681" t="s">
        <v>368</v>
      </c>
      <c r="F2681" t="s">
        <v>369</v>
      </c>
      <c r="G2681" t="s">
        <v>370</v>
      </c>
      <c r="I2681" s="42">
        <v>981.99</v>
      </c>
      <c r="J2681" s="42">
        <v>30</v>
      </c>
      <c r="K2681" s="42"/>
      <c r="L2681" s="42">
        <v>1011.99</v>
      </c>
      <c r="N2681" s="42">
        <v>1011.99</v>
      </c>
    </row>
    <row r="2682" spans="1:14" x14ac:dyDescent="0.25">
      <c r="A2682" s="1">
        <v>46098</v>
      </c>
      <c r="B2682">
        <v>3</v>
      </c>
      <c r="C2682" t="s">
        <v>541</v>
      </c>
      <c r="D2682" t="s">
        <v>10</v>
      </c>
      <c r="E2682" t="s">
        <v>496</v>
      </c>
      <c r="F2682" t="s">
        <v>403</v>
      </c>
      <c r="G2682" t="s">
        <v>346</v>
      </c>
      <c r="I2682" s="42">
        <v>1000</v>
      </c>
      <c r="J2682" s="42">
        <v>30</v>
      </c>
      <c r="K2682" s="42"/>
      <c r="L2682" s="42">
        <v>1030</v>
      </c>
      <c r="N2682" s="42">
        <v>1030</v>
      </c>
    </row>
    <row r="2683" spans="1:14" x14ac:dyDescent="0.25">
      <c r="A2683" s="1">
        <v>46098</v>
      </c>
      <c r="B2683">
        <v>3</v>
      </c>
      <c r="C2683" t="s">
        <v>541</v>
      </c>
      <c r="D2683" t="s">
        <v>10</v>
      </c>
      <c r="E2683" t="s">
        <v>489</v>
      </c>
      <c r="F2683" t="s">
        <v>52</v>
      </c>
      <c r="G2683" t="s">
        <v>346</v>
      </c>
      <c r="I2683" s="42">
        <v>1251.99</v>
      </c>
      <c r="J2683" s="42">
        <v>0.01</v>
      </c>
      <c r="K2683" s="42"/>
      <c r="L2683" s="42">
        <v>1252</v>
      </c>
      <c r="N2683" s="42">
        <v>1252</v>
      </c>
    </row>
    <row r="2684" spans="1:14" x14ac:dyDescent="0.25">
      <c r="A2684" s="1">
        <v>46098</v>
      </c>
      <c r="B2684">
        <v>3</v>
      </c>
      <c r="C2684" t="s">
        <v>541</v>
      </c>
      <c r="D2684" t="s">
        <v>10</v>
      </c>
      <c r="E2684" t="s">
        <v>537</v>
      </c>
      <c r="F2684" t="s">
        <v>407</v>
      </c>
      <c r="G2684" t="s">
        <v>346</v>
      </c>
      <c r="I2684" s="42">
        <v>801.99</v>
      </c>
      <c r="J2684" s="42">
        <v>60</v>
      </c>
      <c r="K2684" s="42"/>
      <c r="L2684" s="42">
        <v>861.99</v>
      </c>
      <c r="N2684" s="42">
        <v>861.99</v>
      </c>
    </row>
    <row r="2685" spans="1:14" x14ac:dyDescent="0.25">
      <c r="A2685" s="1">
        <v>46098</v>
      </c>
      <c r="B2685">
        <v>3</v>
      </c>
      <c r="C2685" t="s">
        <v>541</v>
      </c>
      <c r="D2685" t="s">
        <v>10</v>
      </c>
      <c r="E2685" t="s">
        <v>531</v>
      </c>
      <c r="F2685" t="s">
        <v>69</v>
      </c>
      <c r="G2685" t="s">
        <v>346</v>
      </c>
      <c r="I2685" s="42">
        <v>746.99</v>
      </c>
      <c r="J2685" s="42">
        <v>3.01</v>
      </c>
      <c r="K2685" s="42"/>
      <c r="L2685" s="42">
        <v>750</v>
      </c>
      <c r="N2685" s="42">
        <v>750</v>
      </c>
    </row>
    <row r="2686" spans="1:14" x14ac:dyDescent="0.25">
      <c r="A2686" s="1">
        <v>46098</v>
      </c>
      <c r="B2686">
        <v>3</v>
      </c>
      <c r="C2686" t="s">
        <v>541</v>
      </c>
      <c r="D2686" t="s">
        <v>10</v>
      </c>
      <c r="E2686" t="s">
        <v>379</v>
      </c>
      <c r="F2686" t="s">
        <v>41</v>
      </c>
      <c r="G2686" t="s">
        <v>380</v>
      </c>
      <c r="I2686" s="42">
        <v>746.99</v>
      </c>
      <c r="J2686" s="42">
        <v>30.01</v>
      </c>
      <c r="K2686" s="42"/>
      <c r="L2686" s="42">
        <v>777</v>
      </c>
      <c r="N2686" s="42">
        <v>777</v>
      </c>
    </row>
    <row r="2687" spans="1:14" x14ac:dyDescent="0.25">
      <c r="A2687" s="1">
        <v>46098</v>
      </c>
      <c r="B2687">
        <v>3</v>
      </c>
      <c r="C2687" t="s">
        <v>541</v>
      </c>
      <c r="D2687" t="s">
        <v>10</v>
      </c>
      <c r="E2687" t="s">
        <v>381</v>
      </c>
      <c r="F2687" t="s">
        <v>41</v>
      </c>
      <c r="G2687" t="s">
        <v>380</v>
      </c>
      <c r="I2687" s="42">
        <v>746.99</v>
      </c>
      <c r="J2687" s="42">
        <v>0.01</v>
      </c>
      <c r="K2687" s="42"/>
      <c r="L2687" s="42">
        <v>747</v>
      </c>
      <c r="N2687" s="42">
        <v>747</v>
      </c>
    </row>
    <row r="2688" spans="1:14" x14ac:dyDescent="0.25">
      <c r="A2688" s="1">
        <v>46098</v>
      </c>
      <c r="B2688">
        <v>3</v>
      </c>
      <c r="C2688" t="s">
        <v>541</v>
      </c>
      <c r="D2688" t="s">
        <v>10</v>
      </c>
      <c r="E2688" t="s">
        <v>425</v>
      </c>
      <c r="F2688" t="s">
        <v>426</v>
      </c>
      <c r="G2688" t="s">
        <v>349</v>
      </c>
      <c r="I2688" s="42">
        <v>881.99</v>
      </c>
      <c r="J2688" s="42"/>
      <c r="K2688" s="42"/>
      <c r="L2688" s="42">
        <v>881.99</v>
      </c>
      <c r="N2688" s="42">
        <v>881.99</v>
      </c>
    </row>
    <row r="2689" spans="1:14" x14ac:dyDescent="0.25">
      <c r="A2689" s="1">
        <v>46098</v>
      </c>
      <c r="B2689">
        <v>3</v>
      </c>
      <c r="C2689" t="s">
        <v>541</v>
      </c>
      <c r="D2689" t="s">
        <v>10</v>
      </c>
      <c r="E2689" t="s">
        <v>388</v>
      </c>
      <c r="F2689" t="s">
        <v>41</v>
      </c>
      <c r="G2689" t="s">
        <v>346</v>
      </c>
      <c r="I2689" s="42">
        <v>746.99</v>
      </c>
      <c r="J2689" s="42">
        <v>3.01</v>
      </c>
      <c r="K2689" s="42"/>
      <c r="L2689" s="42">
        <v>750</v>
      </c>
      <c r="N2689" s="42">
        <v>750</v>
      </c>
    </row>
    <row r="2690" spans="1:14" x14ac:dyDescent="0.25">
      <c r="A2690" s="1">
        <v>46098</v>
      </c>
      <c r="B2690">
        <v>3</v>
      </c>
      <c r="C2690" t="s">
        <v>541</v>
      </c>
      <c r="D2690" t="s">
        <v>10</v>
      </c>
      <c r="E2690" t="s">
        <v>524</v>
      </c>
      <c r="F2690" t="s">
        <v>41</v>
      </c>
      <c r="G2690" t="s">
        <v>420</v>
      </c>
      <c r="I2690" s="42">
        <v>746.99</v>
      </c>
      <c r="J2690" s="42"/>
      <c r="K2690" s="42">
        <v>1.99</v>
      </c>
      <c r="L2690" s="42">
        <v>745</v>
      </c>
      <c r="M2690" s="37">
        <v>1000</v>
      </c>
      <c r="N2690" s="42">
        <v>745</v>
      </c>
    </row>
    <row r="2691" spans="1:14" x14ac:dyDescent="0.25">
      <c r="A2691" s="1">
        <v>46098</v>
      </c>
      <c r="B2691">
        <v>3</v>
      </c>
      <c r="C2691" t="s">
        <v>541</v>
      </c>
      <c r="D2691" t="s">
        <v>10</v>
      </c>
      <c r="E2691" t="s">
        <v>391</v>
      </c>
      <c r="F2691" t="s">
        <v>116</v>
      </c>
      <c r="G2691" t="s">
        <v>346</v>
      </c>
      <c r="I2691" s="42">
        <v>746.99</v>
      </c>
      <c r="J2691" s="42">
        <v>30</v>
      </c>
      <c r="K2691" s="42"/>
      <c r="L2691" s="42">
        <v>776.99</v>
      </c>
      <c r="N2691" s="42">
        <v>776.99</v>
      </c>
    </row>
    <row r="2692" spans="1:14" x14ac:dyDescent="0.25">
      <c r="A2692" s="1">
        <v>46098</v>
      </c>
      <c r="B2692">
        <v>3</v>
      </c>
      <c r="C2692" t="s">
        <v>541</v>
      </c>
      <c r="D2692" t="s">
        <v>10</v>
      </c>
      <c r="E2692" t="s">
        <v>396</v>
      </c>
      <c r="F2692" t="s">
        <v>55</v>
      </c>
      <c r="G2692" t="s">
        <v>346</v>
      </c>
      <c r="I2692" s="42">
        <v>746.99</v>
      </c>
      <c r="J2692" s="42">
        <v>60</v>
      </c>
      <c r="K2692" s="42"/>
      <c r="L2692" s="42">
        <v>806.99</v>
      </c>
      <c r="N2692" s="42">
        <v>806.99</v>
      </c>
    </row>
    <row r="2693" spans="1:14" x14ac:dyDescent="0.25">
      <c r="A2693" s="1">
        <v>46098</v>
      </c>
      <c r="B2693">
        <v>3</v>
      </c>
      <c r="C2693" t="s">
        <v>541</v>
      </c>
      <c r="D2693" t="s">
        <v>10</v>
      </c>
      <c r="E2693" t="s">
        <v>397</v>
      </c>
      <c r="F2693" t="s">
        <v>41</v>
      </c>
      <c r="G2693" t="s">
        <v>398</v>
      </c>
      <c r="I2693" s="42">
        <v>746.99</v>
      </c>
      <c r="J2693" s="42">
        <v>30</v>
      </c>
      <c r="K2693" s="42"/>
      <c r="L2693" s="42">
        <v>776.99</v>
      </c>
      <c r="N2693" s="42">
        <v>776.99</v>
      </c>
    </row>
    <row r="2694" spans="1:14" x14ac:dyDescent="0.25">
      <c r="A2694" s="1">
        <v>46098</v>
      </c>
      <c r="B2694">
        <v>3</v>
      </c>
      <c r="C2694" t="s">
        <v>541</v>
      </c>
      <c r="D2694" t="s">
        <v>10</v>
      </c>
      <c r="E2694" t="s">
        <v>400</v>
      </c>
      <c r="F2694" t="s">
        <v>158</v>
      </c>
      <c r="G2694" t="s">
        <v>346</v>
      </c>
      <c r="I2694" s="42">
        <v>746.99</v>
      </c>
      <c r="J2694" s="42"/>
      <c r="K2694" s="42"/>
      <c r="L2694" s="42">
        <v>746.99</v>
      </c>
      <c r="N2694" s="42">
        <v>746.99</v>
      </c>
    </row>
    <row r="2695" spans="1:14" x14ac:dyDescent="0.25">
      <c r="A2695" s="1">
        <v>46098</v>
      </c>
      <c r="B2695">
        <v>3</v>
      </c>
      <c r="C2695" t="s">
        <v>541</v>
      </c>
      <c r="D2695" t="s">
        <v>10</v>
      </c>
      <c r="E2695" t="s">
        <v>401</v>
      </c>
      <c r="F2695" t="s">
        <v>55</v>
      </c>
      <c r="G2695" t="s">
        <v>346</v>
      </c>
      <c r="I2695" s="42">
        <v>746.99</v>
      </c>
      <c r="J2695" s="42">
        <v>60</v>
      </c>
      <c r="K2695" s="42"/>
      <c r="L2695" s="42">
        <v>806.99</v>
      </c>
      <c r="N2695" s="42">
        <v>806.99</v>
      </c>
    </row>
    <row r="2696" spans="1:14" x14ac:dyDescent="0.25">
      <c r="A2696" s="1">
        <v>46098</v>
      </c>
      <c r="B2696">
        <v>3</v>
      </c>
      <c r="C2696" t="s">
        <v>541</v>
      </c>
      <c r="D2696" t="s">
        <v>10</v>
      </c>
      <c r="E2696" t="s">
        <v>402</v>
      </c>
      <c r="F2696" t="s">
        <v>403</v>
      </c>
      <c r="G2696" t="s">
        <v>346</v>
      </c>
      <c r="I2696" s="42">
        <v>1001.99</v>
      </c>
      <c r="J2696" s="42"/>
      <c r="K2696" s="42">
        <v>1.99</v>
      </c>
      <c r="L2696" s="42">
        <v>1000</v>
      </c>
      <c r="N2696" s="42">
        <v>1000</v>
      </c>
    </row>
    <row r="2697" spans="1:14" x14ac:dyDescent="0.25">
      <c r="A2697" s="1">
        <v>46098</v>
      </c>
      <c r="B2697">
        <v>3</v>
      </c>
      <c r="C2697" t="s">
        <v>541</v>
      </c>
      <c r="D2697" t="s">
        <v>10</v>
      </c>
      <c r="E2697" t="s">
        <v>406</v>
      </c>
      <c r="F2697" t="s">
        <v>407</v>
      </c>
      <c r="G2697" t="s">
        <v>346</v>
      </c>
      <c r="I2697" s="42">
        <v>801.99</v>
      </c>
      <c r="J2697" s="42"/>
      <c r="K2697" s="42"/>
      <c r="L2697" s="42">
        <v>801.99</v>
      </c>
      <c r="N2697" s="42">
        <v>801.99</v>
      </c>
    </row>
    <row r="2698" spans="1:14" x14ac:dyDescent="0.25">
      <c r="A2698" s="1">
        <v>46098</v>
      </c>
      <c r="B2698">
        <v>3</v>
      </c>
      <c r="C2698" t="s">
        <v>541</v>
      </c>
      <c r="D2698" t="s">
        <v>10</v>
      </c>
      <c r="E2698" t="s">
        <v>510</v>
      </c>
      <c r="F2698" t="s">
        <v>55</v>
      </c>
      <c r="G2698" t="s">
        <v>346</v>
      </c>
      <c r="I2698" s="42">
        <v>746.99</v>
      </c>
      <c r="J2698" s="42"/>
      <c r="K2698" s="42">
        <v>746.99</v>
      </c>
      <c r="L2698" s="42">
        <v>0</v>
      </c>
      <c r="N2698" s="42"/>
    </row>
    <row r="2699" spans="1:14" x14ac:dyDescent="0.25">
      <c r="A2699" s="1">
        <v>46098</v>
      </c>
      <c r="B2699">
        <v>3</v>
      </c>
      <c r="C2699" t="s">
        <v>541</v>
      </c>
      <c r="D2699" t="s">
        <v>10</v>
      </c>
      <c r="E2699" t="s">
        <v>445</v>
      </c>
      <c r="F2699" t="s">
        <v>52</v>
      </c>
      <c r="G2699" t="s">
        <v>346</v>
      </c>
      <c r="I2699" s="42">
        <v>1251.99</v>
      </c>
      <c r="J2699" s="42">
        <v>29.99</v>
      </c>
      <c r="K2699" s="42"/>
      <c r="L2699" s="42">
        <v>1281.98</v>
      </c>
      <c r="N2699" s="42">
        <v>1281.98</v>
      </c>
    </row>
    <row r="2700" spans="1:14" x14ac:dyDescent="0.25">
      <c r="A2700" s="1">
        <v>46098</v>
      </c>
      <c r="B2700">
        <v>3</v>
      </c>
      <c r="C2700" t="s">
        <v>541</v>
      </c>
      <c r="D2700" t="s">
        <v>10</v>
      </c>
      <c r="E2700" t="s">
        <v>382</v>
      </c>
      <c r="F2700" t="s">
        <v>383</v>
      </c>
      <c r="G2700" t="s">
        <v>349</v>
      </c>
      <c r="I2700" s="42">
        <v>981.99</v>
      </c>
      <c r="J2700" s="42"/>
      <c r="K2700" s="42"/>
      <c r="L2700" s="42">
        <v>981.99</v>
      </c>
      <c r="N2700" s="42">
        <v>981.99</v>
      </c>
    </row>
    <row r="2701" spans="1:14" x14ac:dyDescent="0.25">
      <c r="A2701" s="1">
        <v>46098</v>
      </c>
      <c r="B2701">
        <v>3</v>
      </c>
      <c r="C2701" t="s">
        <v>541</v>
      </c>
      <c r="D2701" t="s">
        <v>10</v>
      </c>
      <c r="E2701" t="s">
        <v>413</v>
      </c>
      <c r="F2701" t="s">
        <v>211</v>
      </c>
      <c r="G2701" t="s">
        <v>414</v>
      </c>
      <c r="I2701" s="42">
        <v>746.99</v>
      </c>
      <c r="J2701" s="42">
        <v>29.01</v>
      </c>
      <c r="K2701" s="42"/>
      <c r="L2701" s="42">
        <v>776</v>
      </c>
      <c r="N2701" s="42">
        <v>776</v>
      </c>
    </row>
    <row r="2702" spans="1:14" x14ac:dyDescent="0.25">
      <c r="A2702" s="1">
        <v>46098</v>
      </c>
      <c r="B2702">
        <v>3</v>
      </c>
      <c r="C2702" t="s">
        <v>541</v>
      </c>
      <c r="D2702" t="s">
        <v>10</v>
      </c>
      <c r="E2702" t="s">
        <v>415</v>
      </c>
      <c r="F2702" t="s">
        <v>416</v>
      </c>
      <c r="G2702" t="s">
        <v>370</v>
      </c>
      <c r="I2702" s="42">
        <v>931.99</v>
      </c>
      <c r="J2702" s="42">
        <v>0.01</v>
      </c>
      <c r="K2702" s="42"/>
      <c r="L2702" s="42">
        <v>932</v>
      </c>
      <c r="N2702" s="42">
        <v>900</v>
      </c>
    </row>
    <row r="2703" spans="1:14" x14ac:dyDescent="0.25">
      <c r="A2703" s="1">
        <v>46098</v>
      </c>
      <c r="B2703">
        <v>3</v>
      </c>
      <c r="C2703" t="s">
        <v>541</v>
      </c>
      <c r="D2703" t="s">
        <v>10</v>
      </c>
      <c r="E2703" t="s">
        <v>459</v>
      </c>
      <c r="F2703" t="s">
        <v>426</v>
      </c>
      <c r="G2703" t="s">
        <v>363</v>
      </c>
      <c r="I2703" s="42">
        <v>746.99</v>
      </c>
      <c r="J2703" s="42">
        <v>0.01</v>
      </c>
      <c r="K2703" s="42"/>
      <c r="L2703" s="42">
        <v>747</v>
      </c>
      <c r="N2703" s="42">
        <v>747</v>
      </c>
    </row>
    <row r="2704" spans="1:14" x14ac:dyDescent="0.25">
      <c r="A2704" s="1">
        <v>46098</v>
      </c>
      <c r="B2704">
        <v>3</v>
      </c>
      <c r="C2704" t="s">
        <v>541</v>
      </c>
      <c r="D2704" t="s">
        <v>10</v>
      </c>
      <c r="E2704" t="s">
        <v>395</v>
      </c>
      <c r="F2704" t="s">
        <v>158</v>
      </c>
      <c r="G2704" t="s">
        <v>346</v>
      </c>
      <c r="I2704" s="42">
        <v>746.99</v>
      </c>
      <c r="J2704" s="42"/>
      <c r="K2704" s="42"/>
      <c r="L2704" s="42">
        <v>746.99</v>
      </c>
      <c r="N2704" s="42">
        <v>746.99</v>
      </c>
    </row>
    <row r="2705" spans="1:14" x14ac:dyDescent="0.25">
      <c r="A2705" s="1">
        <v>46098</v>
      </c>
      <c r="B2705">
        <v>3</v>
      </c>
      <c r="C2705" t="s">
        <v>541</v>
      </c>
      <c r="D2705" t="s">
        <v>10</v>
      </c>
      <c r="E2705" t="s">
        <v>529</v>
      </c>
      <c r="F2705" t="s">
        <v>55</v>
      </c>
      <c r="G2705" t="s">
        <v>346</v>
      </c>
      <c r="I2705" s="42">
        <v>746.99</v>
      </c>
      <c r="J2705" s="42"/>
      <c r="K2705" s="42"/>
      <c r="L2705" s="42">
        <v>746.99</v>
      </c>
      <c r="N2705" s="42">
        <v>746.99</v>
      </c>
    </row>
    <row r="2706" spans="1:14" x14ac:dyDescent="0.25">
      <c r="A2706" s="1">
        <v>46098</v>
      </c>
      <c r="B2706">
        <v>3</v>
      </c>
      <c r="C2706" t="s">
        <v>541</v>
      </c>
      <c r="D2706" t="s">
        <v>10</v>
      </c>
      <c r="E2706" t="s">
        <v>482</v>
      </c>
      <c r="F2706" t="s">
        <v>158</v>
      </c>
      <c r="G2706" t="s">
        <v>346</v>
      </c>
      <c r="I2706" s="42">
        <v>746.99</v>
      </c>
      <c r="J2706" s="42"/>
      <c r="K2706" s="42"/>
      <c r="L2706" s="42">
        <v>746.99</v>
      </c>
      <c r="N2706" s="42">
        <v>595</v>
      </c>
    </row>
    <row r="2707" spans="1:14" x14ac:dyDescent="0.25">
      <c r="A2707" s="1">
        <v>46098</v>
      </c>
      <c r="B2707">
        <v>3</v>
      </c>
      <c r="C2707" t="s">
        <v>541</v>
      </c>
      <c r="D2707" t="s">
        <v>10</v>
      </c>
      <c r="E2707" t="s">
        <v>720</v>
      </c>
      <c r="F2707" t="s">
        <v>28</v>
      </c>
      <c r="G2707" t="s">
        <v>721</v>
      </c>
      <c r="I2707" s="42">
        <v>991.99</v>
      </c>
      <c r="J2707" s="42"/>
      <c r="K2707" s="42"/>
      <c r="L2707" s="42">
        <v>991.99</v>
      </c>
      <c r="N2707" s="42">
        <v>991.99</v>
      </c>
    </row>
    <row r="2708" spans="1:14" x14ac:dyDescent="0.25">
      <c r="A2708" s="1">
        <v>46098</v>
      </c>
      <c r="B2708">
        <v>3</v>
      </c>
      <c r="C2708" t="s">
        <v>541</v>
      </c>
      <c r="D2708" t="s">
        <v>10</v>
      </c>
      <c r="E2708" t="s">
        <v>389</v>
      </c>
      <c r="F2708" t="s">
        <v>12</v>
      </c>
      <c r="G2708" t="s">
        <v>346</v>
      </c>
      <c r="I2708" s="42">
        <v>746.99</v>
      </c>
      <c r="J2708" s="42"/>
      <c r="K2708" s="42"/>
      <c r="L2708" s="42">
        <v>1341.99</v>
      </c>
      <c r="N2708" s="42">
        <v>746.99</v>
      </c>
    </row>
    <row r="2709" spans="1:14" x14ac:dyDescent="0.25">
      <c r="A2709" s="1">
        <v>46098</v>
      </c>
      <c r="B2709">
        <v>3</v>
      </c>
      <c r="C2709" t="s">
        <v>542</v>
      </c>
      <c r="D2709" t="s">
        <v>89</v>
      </c>
      <c r="E2709" t="s">
        <v>419</v>
      </c>
      <c r="F2709" t="s">
        <v>94</v>
      </c>
      <c r="G2709" t="s">
        <v>420</v>
      </c>
      <c r="I2709" s="42">
        <v>746.99</v>
      </c>
      <c r="J2709" s="42"/>
      <c r="K2709" s="42"/>
      <c r="L2709" s="42">
        <v>746.99</v>
      </c>
      <c r="N2709" s="42"/>
    </row>
    <row r="2710" spans="1:14" x14ac:dyDescent="0.25">
      <c r="A2710" s="1">
        <v>46098</v>
      </c>
      <c r="B2710">
        <v>3</v>
      </c>
      <c r="C2710" t="s">
        <v>542</v>
      </c>
      <c r="D2710" t="s">
        <v>99</v>
      </c>
      <c r="E2710" t="s">
        <v>486</v>
      </c>
      <c r="F2710" t="s">
        <v>52</v>
      </c>
      <c r="G2710" t="s">
        <v>346</v>
      </c>
      <c r="I2710" s="42">
        <v>1251.99</v>
      </c>
      <c r="J2710" s="42"/>
      <c r="K2710" s="42"/>
      <c r="L2710" s="42">
        <v>1251.99</v>
      </c>
      <c r="N2710" s="42"/>
    </row>
    <row r="2711" spans="1:14" x14ac:dyDescent="0.25">
      <c r="A2711" s="1">
        <v>46098</v>
      </c>
      <c r="B2711">
        <v>3</v>
      </c>
      <c r="C2711" t="s">
        <v>541</v>
      </c>
      <c r="D2711" t="s">
        <v>10</v>
      </c>
      <c r="E2711" t="s">
        <v>436</v>
      </c>
      <c r="F2711" t="s">
        <v>116</v>
      </c>
      <c r="G2711" t="s">
        <v>346</v>
      </c>
      <c r="I2711" s="42">
        <v>746.99</v>
      </c>
      <c r="J2711" s="42"/>
      <c r="K2711" s="42"/>
      <c r="L2711" s="42">
        <v>746.99</v>
      </c>
      <c r="N2711" s="42"/>
    </row>
    <row r="2712" spans="1:14" x14ac:dyDescent="0.25">
      <c r="A2712" s="1">
        <v>46098</v>
      </c>
      <c r="B2712">
        <v>3</v>
      </c>
      <c r="C2712" t="s">
        <v>541</v>
      </c>
      <c r="D2712" t="s">
        <v>10</v>
      </c>
      <c r="E2712" t="s">
        <v>532</v>
      </c>
      <c r="F2712" t="s">
        <v>55</v>
      </c>
      <c r="G2712" t="s">
        <v>346</v>
      </c>
      <c r="I2712" s="42">
        <v>746.99</v>
      </c>
      <c r="J2712" s="42">
        <v>0.01</v>
      </c>
      <c r="K2712" s="42"/>
      <c r="L2712" s="42">
        <v>747</v>
      </c>
      <c r="N2712" s="42">
        <v>747</v>
      </c>
    </row>
    <row r="2713" spans="1:14" x14ac:dyDescent="0.25">
      <c r="A2713" s="1">
        <v>46098</v>
      </c>
      <c r="B2713">
        <v>3</v>
      </c>
      <c r="C2713" t="s">
        <v>541</v>
      </c>
      <c r="D2713" t="s">
        <v>10</v>
      </c>
      <c r="E2713" t="s">
        <v>710</v>
      </c>
      <c r="F2713" t="s">
        <v>52</v>
      </c>
      <c r="G2713" t="s">
        <v>515</v>
      </c>
      <c r="I2713" s="42">
        <v>1251.99</v>
      </c>
      <c r="J2713" s="42"/>
      <c r="K2713" s="42"/>
      <c r="L2713" s="42">
        <v>1251.99</v>
      </c>
      <c r="N2713" s="42">
        <v>1251.99</v>
      </c>
    </row>
    <row r="2714" spans="1:14" x14ac:dyDescent="0.25">
      <c r="A2714" s="1">
        <v>46098</v>
      </c>
      <c r="B2714">
        <v>3</v>
      </c>
      <c r="C2714" t="s">
        <v>541</v>
      </c>
      <c r="D2714" t="s">
        <v>10</v>
      </c>
      <c r="E2714" t="s">
        <v>384</v>
      </c>
      <c r="F2714" t="s">
        <v>385</v>
      </c>
      <c r="G2714" t="s">
        <v>349</v>
      </c>
      <c r="I2714" s="42">
        <v>801.99</v>
      </c>
      <c r="J2714" s="42"/>
      <c r="K2714" s="42"/>
      <c r="L2714" s="42">
        <v>801.99</v>
      </c>
      <c r="N2714" s="42">
        <v>801.99</v>
      </c>
    </row>
    <row r="2715" spans="1:14" x14ac:dyDescent="0.25">
      <c r="A2715" s="1">
        <v>46098</v>
      </c>
      <c r="B2715">
        <v>3</v>
      </c>
      <c r="C2715" t="s">
        <v>542</v>
      </c>
      <c r="D2715" t="s">
        <v>89</v>
      </c>
      <c r="E2715" t="s">
        <v>404</v>
      </c>
      <c r="F2715" t="s">
        <v>55</v>
      </c>
      <c r="G2715" t="s">
        <v>346</v>
      </c>
      <c r="I2715" s="42">
        <v>746.99</v>
      </c>
      <c r="J2715" s="42"/>
      <c r="K2715" s="42"/>
      <c r="L2715" s="42">
        <v>746.99</v>
      </c>
      <c r="N2715" s="42"/>
    </row>
    <row r="2716" spans="1:14" x14ac:dyDescent="0.25">
      <c r="A2716" s="1">
        <v>46098</v>
      </c>
      <c r="B2716">
        <v>3</v>
      </c>
      <c r="C2716" t="s">
        <v>541</v>
      </c>
      <c r="D2716" t="s">
        <v>10</v>
      </c>
      <c r="E2716" t="s">
        <v>418</v>
      </c>
      <c r="F2716" t="s">
        <v>33</v>
      </c>
      <c r="G2716" t="s">
        <v>346</v>
      </c>
      <c r="I2716" s="42">
        <v>851.99</v>
      </c>
      <c r="J2716" s="42"/>
      <c r="K2716" s="42"/>
      <c r="L2716" s="42">
        <v>851.99</v>
      </c>
      <c r="N2716" s="42">
        <v>851.99</v>
      </c>
    </row>
    <row r="2717" spans="1:14" x14ac:dyDescent="0.25">
      <c r="A2717" s="1">
        <v>46098</v>
      </c>
      <c r="B2717">
        <v>3</v>
      </c>
      <c r="C2717" t="s">
        <v>541</v>
      </c>
      <c r="D2717" t="s">
        <v>10</v>
      </c>
      <c r="E2717" t="s">
        <v>386</v>
      </c>
      <c r="F2717" t="s">
        <v>387</v>
      </c>
      <c r="G2717" t="s">
        <v>349</v>
      </c>
      <c r="I2717" s="42">
        <v>801.99</v>
      </c>
      <c r="J2717" s="42">
        <v>30</v>
      </c>
      <c r="K2717" s="42"/>
      <c r="L2717" s="42">
        <v>831.99</v>
      </c>
      <c r="N2717" s="42">
        <v>831.99</v>
      </c>
    </row>
    <row r="2718" spans="1:14" x14ac:dyDescent="0.25">
      <c r="A2718" s="1">
        <v>46098</v>
      </c>
      <c r="B2718">
        <v>3</v>
      </c>
      <c r="C2718" t="s">
        <v>541</v>
      </c>
      <c r="D2718" t="s">
        <v>10</v>
      </c>
      <c r="E2718" t="s">
        <v>428</v>
      </c>
      <c r="F2718" t="s">
        <v>69</v>
      </c>
      <c r="G2718" t="s">
        <v>378</v>
      </c>
      <c r="I2718" s="42">
        <v>746.99</v>
      </c>
      <c r="J2718" s="42"/>
      <c r="K2718" s="42">
        <v>1.99</v>
      </c>
      <c r="L2718" s="42">
        <v>745</v>
      </c>
      <c r="N2718" s="42">
        <v>745</v>
      </c>
    </row>
    <row r="2719" spans="1:14" x14ac:dyDescent="0.25">
      <c r="A2719" s="1">
        <v>46098</v>
      </c>
      <c r="B2719">
        <v>3</v>
      </c>
      <c r="C2719" t="s">
        <v>541</v>
      </c>
      <c r="D2719" t="s">
        <v>10</v>
      </c>
      <c r="E2719" t="s">
        <v>525</v>
      </c>
      <c r="F2719" t="s">
        <v>158</v>
      </c>
      <c r="G2719" t="s">
        <v>346</v>
      </c>
      <c r="I2719" s="42">
        <v>746.99</v>
      </c>
      <c r="J2719" s="42"/>
      <c r="K2719" s="42"/>
      <c r="L2719" s="42">
        <v>746.99</v>
      </c>
      <c r="N2719" s="42">
        <v>746.99</v>
      </c>
    </row>
    <row r="2720" spans="1:14" x14ac:dyDescent="0.25">
      <c r="A2720" s="1">
        <v>46098</v>
      </c>
      <c r="B2720">
        <v>3</v>
      </c>
      <c r="C2720" t="s">
        <v>541</v>
      </c>
      <c r="D2720" t="s">
        <v>10</v>
      </c>
      <c r="E2720" t="s">
        <v>424</v>
      </c>
      <c r="F2720" t="s">
        <v>12</v>
      </c>
      <c r="G2720" t="s">
        <v>346</v>
      </c>
      <c r="I2720" s="42">
        <v>746.99</v>
      </c>
      <c r="J2720" s="42"/>
      <c r="K2720" s="42">
        <v>639.99</v>
      </c>
      <c r="L2720" s="42">
        <v>107</v>
      </c>
      <c r="N2720" s="42">
        <v>107</v>
      </c>
    </row>
    <row r="2721" spans="1:14" x14ac:dyDescent="0.25">
      <c r="A2721" s="1">
        <v>46098</v>
      </c>
      <c r="B2721">
        <v>3</v>
      </c>
      <c r="C2721" t="s">
        <v>541</v>
      </c>
      <c r="D2721" t="s">
        <v>10</v>
      </c>
      <c r="E2721" t="s">
        <v>394</v>
      </c>
      <c r="F2721" t="s">
        <v>158</v>
      </c>
      <c r="G2721" t="s">
        <v>346</v>
      </c>
      <c r="I2721" s="42">
        <v>746.99</v>
      </c>
      <c r="J2721" s="42"/>
      <c r="K2721" s="42">
        <v>1.99</v>
      </c>
      <c r="L2721" s="42">
        <v>745</v>
      </c>
      <c r="N2721" s="42">
        <v>745</v>
      </c>
    </row>
    <row r="2722" spans="1:14" x14ac:dyDescent="0.25">
      <c r="A2722" s="1">
        <v>46098</v>
      </c>
      <c r="B2722">
        <v>3</v>
      </c>
      <c r="C2722" t="s">
        <v>541</v>
      </c>
      <c r="D2722" t="s">
        <v>10</v>
      </c>
      <c r="E2722" t="s">
        <v>430</v>
      </c>
      <c r="F2722" t="s">
        <v>158</v>
      </c>
      <c r="G2722" t="s">
        <v>346</v>
      </c>
      <c r="I2722" s="42">
        <v>746.99</v>
      </c>
      <c r="J2722" s="42"/>
      <c r="K2722" s="42"/>
      <c r="L2722" s="42">
        <v>746.99</v>
      </c>
      <c r="N2722" s="42">
        <v>746.99</v>
      </c>
    </row>
    <row r="2723" spans="1:14" x14ac:dyDescent="0.25">
      <c r="A2723" s="1">
        <v>46098</v>
      </c>
      <c r="B2723">
        <v>3</v>
      </c>
      <c r="C2723" t="s">
        <v>541</v>
      </c>
      <c r="D2723" t="s">
        <v>10</v>
      </c>
      <c r="E2723" t="s">
        <v>432</v>
      </c>
      <c r="F2723" t="s">
        <v>55</v>
      </c>
      <c r="G2723" t="s">
        <v>433</v>
      </c>
      <c r="I2723" s="42">
        <v>746.99</v>
      </c>
      <c r="J2723" s="42">
        <v>30.01</v>
      </c>
      <c r="K2723" s="42"/>
      <c r="L2723" s="42">
        <v>777</v>
      </c>
      <c r="N2723" s="42">
        <v>777</v>
      </c>
    </row>
    <row r="2724" spans="1:14" x14ac:dyDescent="0.25">
      <c r="A2724" s="1">
        <v>46098</v>
      </c>
      <c r="B2724">
        <v>3</v>
      </c>
      <c r="C2724" t="s">
        <v>541</v>
      </c>
      <c r="D2724" t="s">
        <v>10</v>
      </c>
      <c r="E2724" t="s">
        <v>434</v>
      </c>
      <c r="F2724" t="s">
        <v>55</v>
      </c>
      <c r="G2724" t="s">
        <v>346</v>
      </c>
      <c r="I2724" s="42">
        <v>746.99</v>
      </c>
      <c r="J2724" s="42">
        <v>30</v>
      </c>
      <c r="K2724" s="42"/>
      <c r="L2724" s="42">
        <v>776.99</v>
      </c>
      <c r="N2724" s="42">
        <v>776.99</v>
      </c>
    </row>
    <row r="2725" spans="1:14" x14ac:dyDescent="0.25">
      <c r="A2725" s="1">
        <v>46098</v>
      </c>
      <c r="B2725">
        <v>3</v>
      </c>
      <c r="C2725" t="s">
        <v>541</v>
      </c>
      <c r="D2725" t="s">
        <v>10</v>
      </c>
      <c r="E2725" t="s">
        <v>437</v>
      </c>
      <c r="F2725" t="s">
        <v>12</v>
      </c>
      <c r="G2725" t="s">
        <v>346</v>
      </c>
      <c r="I2725" s="42">
        <v>746.99</v>
      </c>
      <c r="J2725" s="42"/>
      <c r="K2725" s="42">
        <v>1.99</v>
      </c>
      <c r="L2725" s="42">
        <v>745</v>
      </c>
      <c r="N2725" s="42">
        <v>745</v>
      </c>
    </row>
    <row r="2726" spans="1:14" x14ac:dyDescent="0.25">
      <c r="A2726" s="1">
        <v>46098</v>
      </c>
      <c r="B2726">
        <v>3</v>
      </c>
      <c r="C2726" t="s">
        <v>541</v>
      </c>
      <c r="D2726" t="s">
        <v>10</v>
      </c>
      <c r="E2726" t="s">
        <v>435</v>
      </c>
      <c r="F2726" t="s">
        <v>41</v>
      </c>
      <c r="G2726" t="s">
        <v>398</v>
      </c>
      <c r="I2726" s="42">
        <v>746.99</v>
      </c>
      <c r="J2726" s="42">
        <v>62</v>
      </c>
      <c r="K2726" s="42"/>
      <c r="L2726" s="42">
        <v>808.99</v>
      </c>
      <c r="N2726" s="42">
        <v>808.99</v>
      </c>
    </row>
    <row r="2727" spans="1:14" x14ac:dyDescent="0.25">
      <c r="A2727" s="1">
        <v>46098</v>
      </c>
      <c r="B2727">
        <v>3</v>
      </c>
      <c r="C2727" t="s">
        <v>541</v>
      </c>
      <c r="D2727" t="s">
        <v>10</v>
      </c>
      <c r="E2727" t="s">
        <v>438</v>
      </c>
      <c r="F2727" t="s">
        <v>52</v>
      </c>
      <c r="G2727" t="s">
        <v>359</v>
      </c>
      <c r="I2727" s="42">
        <v>1251.99</v>
      </c>
      <c r="J2727" s="42">
        <v>30</v>
      </c>
      <c r="K2727" s="42"/>
      <c r="L2727" s="42">
        <v>1281.99</v>
      </c>
      <c r="N2727" s="42">
        <v>1281.99</v>
      </c>
    </row>
    <row r="2728" spans="1:14" x14ac:dyDescent="0.25">
      <c r="A2728" s="1">
        <v>46098</v>
      </c>
      <c r="B2728">
        <v>3</v>
      </c>
      <c r="C2728" t="s">
        <v>541</v>
      </c>
      <c r="D2728" t="s">
        <v>10</v>
      </c>
      <c r="E2728" t="s">
        <v>442</v>
      </c>
      <c r="F2728" t="s">
        <v>52</v>
      </c>
      <c r="G2728" t="s">
        <v>346</v>
      </c>
      <c r="I2728" s="42">
        <v>1251.99</v>
      </c>
      <c r="J2728" s="42"/>
      <c r="K2728" s="42">
        <v>1.99</v>
      </c>
      <c r="L2728" s="42">
        <v>1250</v>
      </c>
      <c r="N2728" s="42">
        <v>1250</v>
      </c>
    </row>
    <row r="2729" spans="1:14" x14ac:dyDescent="0.25">
      <c r="A2729" s="1">
        <v>46098</v>
      </c>
      <c r="B2729">
        <v>3</v>
      </c>
      <c r="C2729" t="s">
        <v>542</v>
      </c>
      <c r="D2729" t="s">
        <v>136</v>
      </c>
      <c r="E2729" t="s">
        <v>441</v>
      </c>
      <c r="F2729" t="s">
        <v>52</v>
      </c>
      <c r="G2729" t="s">
        <v>346</v>
      </c>
      <c r="I2729" s="42">
        <v>1251.99</v>
      </c>
      <c r="J2729" s="42"/>
      <c r="K2729" s="42"/>
      <c r="L2729" s="42">
        <v>1251.99</v>
      </c>
      <c r="N2729" s="42"/>
    </row>
    <row r="2730" spans="1:14" x14ac:dyDescent="0.25">
      <c r="A2730" s="1">
        <v>46098</v>
      </c>
      <c r="B2730">
        <v>3</v>
      </c>
      <c r="C2730" t="s">
        <v>541</v>
      </c>
      <c r="D2730" t="s">
        <v>10</v>
      </c>
      <c r="E2730" t="s">
        <v>443</v>
      </c>
      <c r="F2730" t="s">
        <v>52</v>
      </c>
      <c r="G2730" t="s">
        <v>346</v>
      </c>
      <c r="I2730" s="42">
        <v>1251.99</v>
      </c>
      <c r="J2730" s="42"/>
      <c r="K2730" s="42">
        <v>871.99</v>
      </c>
      <c r="L2730" s="42">
        <v>380</v>
      </c>
      <c r="N2730" s="42">
        <v>380</v>
      </c>
    </row>
    <row r="2731" spans="1:14" x14ac:dyDescent="0.25">
      <c r="A2731" s="1">
        <v>46098</v>
      </c>
      <c r="B2731">
        <v>3</v>
      </c>
      <c r="C2731" t="s">
        <v>541</v>
      </c>
      <c r="D2731" t="s">
        <v>10</v>
      </c>
      <c r="E2731" t="s">
        <v>444</v>
      </c>
      <c r="F2731" t="s">
        <v>52</v>
      </c>
      <c r="G2731" t="s">
        <v>409</v>
      </c>
      <c r="I2731" s="42">
        <v>1251.99</v>
      </c>
      <c r="J2731" s="42">
        <v>60.01</v>
      </c>
      <c r="K2731" s="42"/>
      <c r="L2731" s="42">
        <v>1312</v>
      </c>
      <c r="N2731" s="42">
        <v>1312</v>
      </c>
    </row>
    <row r="2732" spans="1:14" x14ac:dyDescent="0.25">
      <c r="A2732" s="1">
        <v>46098</v>
      </c>
      <c r="B2732">
        <v>3</v>
      </c>
      <c r="C2732" t="s">
        <v>541</v>
      </c>
      <c r="D2732" t="s">
        <v>10</v>
      </c>
      <c r="E2732" t="s">
        <v>495</v>
      </c>
      <c r="F2732" t="s">
        <v>33</v>
      </c>
      <c r="G2732" t="s">
        <v>349</v>
      </c>
      <c r="I2732" s="42">
        <v>901.99</v>
      </c>
      <c r="J2732" s="42">
        <v>0.01</v>
      </c>
      <c r="K2732" s="42"/>
      <c r="L2732" s="42">
        <v>902</v>
      </c>
      <c r="N2732" s="42">
        <v>902</v>
      </c>
    </row>
    <row r="2733" spans="1:14" x14ac:dyDescent="0.25">
      <c r="A2733" s="1">
        <v>46098</v>
      </c>
      <c r="B2733">
        <v>3</v>
      </c>
      <c r="C2733" t="s">
        <v>541</v>
      </c>
      <c r="D2733" t="s">
        <v>10</v>
      </c>
      <c r="E2733" t="s">
        <v>448</v>
      </c>
      <c r="F2733" t="s">
        <v>255</v>
      </c>
      <c r="G2733" t="s">
        <v>409</v>
      </c>
      <c r="I2733" s="42">
        <v>801.99</v>
      </c>
      <c r="J2733" s="42">
        <v>30.01</v>
      </c>
      <c r="K2733" s="42"/>
      <c r="L2733" s="42">
        <v>832</v>
      </c>
      <c r="N2733" s="42">
        <v>832</v>
      </c>
    </row>
    <row r="2734" spans="1:14" x14ac:dyDescent="0.25">
      <c r="A2734" s="1">
        <v>46098</v>
      </c>
      <c r="B2734">
        <v>3</v>
      </c>
      <c r="C2734" t="s">
        <v>541</v>
      </c>
      <c r="D2734" t="s">
        <v>10</v>
      </c>
      <c r="E2734" t="s">
        <v>509</v>
      </c>
      <c r="F2734" t="s">
        <v>12</v>
      </c>
      <c r="G2734" t="s">
        <v>346</v>
      </c>
      <c r="I2734" s="42">
        <v>746.99</v>
      </c>
      <c r="J2734" s="42"/>
      <c r="K2734" s="42"/>
      <c r="L2734" s="42">
        <v>746.99</v>
      </c>
      <c r="N2734" s="42">
        <v>746.99</v>
      </c>
    </row>
    <row r="2735" spans="1:14" x14ac:dyDescent="0.25">
      <c r="A2735" s="1">
        <v>46098</v>
      </c>
      <c r="B2735">
        <v>3</v>
      </c>
      <c r="C2735" t="s">
        <v>541</v>
      </c>
      <c r="D2735" t="s">
        <v>10</v>
      </c>
      <c r="E2735" t="s">
        <v>491</v>
      </c>
      <c r="F2735" t="s">
        <v>403</v>
      </c>
      <c r="G2735" t="s">
        <v>346</v>
      </c>
      <c r="I2735" s="42">
        <v>1001.99</v>
      </c>
      <c r="J2735" s="42"/>
      <c r="K2735" s="42">
        <v>1.99</v>
      </c>
      <c r="L2735" s="42">
        <v>1000</v>
      </c>
      <c r="N2735" s="42">
        <v>1000</v>
      </c>
    </row>
    <row r="2736" spans="1:14" x14ac:dyDescent="0.25">
      <c r="A2736" s="1">
        <v>46098</v>
      </c>
      <c r="B2736">
        <v>3</v>
      </c>
      <c r="C2736" t="s">
        <v>541</v>
      </c>
      <c r="D2736" t="s">
        <v>10</v>
      </c>
      <c r="E2736" t="s">
        <v>521</v>
      </c>
      <c r="F2736" t="s">
        <v>522</v>
      </c>
      <c r="G2736" t="s">
        <v>523</v>
      </c>
      <c r="I2736" s="42">
        <v>851.99</v>
      </c>
      <c r="J2736" s="42"/>
      <c r="K2736" s="42"/>
      <c r="L2736" s="42">
        <v>851.99</v>
      </c>
      <c r="N2736" s="42">
        <v>851.99</v>
      </c>
    </row>
    <row r="2737" spans="1:14" x14ac:dyDescent="0.25">
      <c r="A2737" s="1">
        <v>46098</v>
      </c>
      <c r="B2737">
        <v>3</v>
      </c>
      <c r="C2737" t="s">
        <v>542</v>
      </c>
      <c r="D2737" t="s">
        <v>234</v>
      </c>
      <c r="E2737" t="s">
        <v>533</v>
      </c>
      <c r="F2737" t="s">
        <v>211</v>
      </c>
      <c r="G2737" t="s">
        <v>346</v>
      </c>
      <c r="I2737" s="42">
        <v>746.99</v>
      </c>
      <c r="J2737" s="42"/>
      <c r="K2737" s="42"/>
      <c r="L2737" s="42">
        <v>746.99</v>
      </c>
      <c r="N2737" s="42"/>
    </row>
    <row r="2738" spans="1:14" x14ac:dyDescent="0.25">
      <c r="A2738" s="1">
        <v>46098</v>
      </c>
      <c r="B2738">
        <v>3</v>
      </c>
      <c r="C2738" t="s">
        <v>541</v>
      </c>
      <c r="D2738" t="s">
        <v>10</v>
      </c>
      <c r="E2738" t="s">
        <v>719</v>
      </c>
      <c r="F2738" t="s">
        <v>369</v>
      </c>
      <c r="G2738" t="s">
        <v>370</v>
      </c>
      <c r="I2738" s="42">
        <v>981.99</v>
      </c>
      <c r="J2738" s="42"/>
      <c r="K2738" s="42"/>
      <c r="L2738" s="42">
        <v>1026.99</v>
      </c>
      <c r="N2738" s="42">
        <v>981.99</v>
      </c>
    </row>
    <row r="2739" spans="1:14" x14ac:dyDescent="0.25">
      <c r="A2739" s="1">
        <v>46098</v>
      </c>
      <c r="B2739">
        <v>3</v>
      </c>
      <c r="C2739" t="s">
        <v>541</v>
      </c>
      <c r="D2739" t="s">
        <v>10</v>
      </c>
      <c r="E2739" t="s">
        <v>508</v>
      </c>
      <c r="F2739" t="s">
        <v>158</v>
      </c>
      <c r="G2739" t="s">
        <v>346</v>
      </c>
      <c r="I2739" s="42">
        <v>746.99</v>
      </c>
      <c r="J2739" s="42"/>
      <c r="K2739" s="42"/>
      <c r="L2739" s="42">
        <v>746.99</v>
      </c>
      <c r="N2739" s="42"/>
    </row>
    <row r="2740" spans="1:14" x14ac:dyDescent="0.25">
      <c r="A2740" s="1">
        <v>46098</v>
      </c>
      <c r="B2740">
        <v>3</v>
      </c>
      <c r="C2740" t="s">
        <v>541</v>
      </c>
      <c r="D2740" t="s">
        <v>10</v>
      </c>
      <c r="E2740" t="s">
        <v>357</v>
      </c>
      <c r="F2740" t="s">
        <v>55</v>
      </c>
      <c r="G2740" t="s">
        <v>346</v>
      </c>
      <c r="I2740" s="42">
        <v>746.99</v>
      </c>
      <c r="J2740" s="42"/>
      <c r="K2740" s="42">
        <v>640.27</v>
      </c>
      <c r="L2740" s="42">
        <v>106.72</v>
      </c>
      <c r="N2740" s="42"/>
    </row>
    <row r="2741" spans="1:14" x14ac:dyDescent="0.25">
      <c r="A2741" s="1">
        <v>46098</v>
      </c>
      <c r="B2741">
        <v>3</v>
      </c>
      <c r="C2741" t="s">
        <v>541</v>
      </c>
      <c r="D2741" t="s">
        <v>10</v>
      </c>
      <c r="E2741" t="s">
        <v>351</v>
      </c>
      <c r="F2741" t="s">
        <v>116</v>
      </c>
      <c r="G2741" t="s">
        <v>346</v>
      </c>
      <c r="I2741" s="42">
        <v>746.99</v>
      </c>
      <c r="J2741" s="42"/>
      <c r="K2741" s="42"/>
      <c r="L2741" s="42">
        <v>746.99</v>
      </c>
      <c r="N2741" s="42">
        <v>746.99</v>
      </c>
    </row>
    <row r="2742" spans="1:14" x14ac:dyDescent="0.25">
      <c r="A2742" s="1">
        <v>46098</v>
      </c>
      <c r="B2742">
        <v>3</v>
      </c>
      <c r="C2742" t="s">
        <v>541</v>
      </c>
      <c r="D2742" t="s">
        <v>10</v>
      </c>
      <c r="E2742" t="s">
        <v>497</v>
      </c>
      <c r="F2742" t="s">
        <v>498</v>
      </c>
      <c r="G2742" t="s">
        <v>349</v>
      </c>
      <c r="I2742" s="42">
        <v>901.99</v>
      </c>
      <c r="J2742" s="42">
        <v>0.01</v>
      </c>
      <c r="K2742" s="42"/>
      <c r="L2742" s="42">
        <v>902</v>
      </c>
      <c r="N2742" s="42">
        <v>902</v>
      </c>
    </row>
    <row r="2743" spans="1:14" x14ac:dyDescent="0.25">
      <c r="A2743" s="1">
        <v>46098</v>
      </c>
      <c r="B2743">
        <v>3</v>
      </c>
      <c r="C2743" t="s">
        <v>541</v>
      </c>
      <c r="D2743" t="s">
        <v>10</v>
      </c>
      <c r="E2743" t="s">
        <v>405</v>
      </c>
      <c r="F2743" t="s">
        <v>52</v>
      </c>
      <c r="G2743" t="s">
        <v>346</v>
      </c>
      <c r="I2743" s="42">
        <v>1251.99</v>
      </c>
      <c r="J2743" s="42"/>
      <c r="K2743" s="42"/>
      <c r="L2743" s="42">
        <v>1251.99</v>
      </c>
      <c r="N2743" s="42">
        <v>1251.99</v>
      </c>
    </row>
    <row r="2744" spans="1:14" x14ac:dyDescent="0.25">
      <c r="A2744" s="1">
        <v>46098</v>
      </c>
      <c r="B2744">
        <v>3</v>
      </c>
      <c r="C2744" t="s">
        <v>541</v>
      </c>
      <c r="D2744" t="s">
        <v>10</v>
      </c>
      <c r="E2744" t="s">
        <v>526</v>
      </c>
      <c r="F2744" t="s">
        <v>158</v>
      </c>
      <c r="G2744" t="s">
        <v>346</v>
      </c>
      <c r="I2744" s="42">
        <v>746.99</v>
      </c>
      <c r="J2744" s="42"/>
      <c r="K2744" s="42">
        <v>106.43</v>
      </c>
      <c r="L2744" s="42">
        <v>640.55999999999995</v>
      </c>
      <c r="N2744" s="42">
        <v>640.55999999999995</v>
      </c>
    </row>
    <row r="2745" spans="1:14" x14ac:dyDescent="0.25">
      <c r="A2745" s="1">
        <v>46098</v>
      </c>
      <c r="B2745">
        <v>3</v>
      </c>
      <c r="C2745" t="s">
        <v>541</v>
      </c>
      <c r="D2745" t="s">
        <v>10</v>
      </c>
      <c r="E2745" t="s">
        <v>399</v>
      </c>
      <c r="F2745" t="s">
        <v>12</v>
      </c>
      <c r="G2745" t="s">
        <v>346</v>
      </c>
      <c r="I2745" s="42">
        <v>746.99</v>
      </c>
      <c r="J2745" s="42"/>
      <c r="K2745" s="42"/>
      <c r="L2745" s="42">
        <v>746.99</v>
      </c>
      <c r="N2745" s="42">
        <v>746.99</v>
      </c>
    </row>
    <row r="2746" spans="1:14" x14ac:dyDescent="0.25">
      <c r="A2746" s="1">
        <v>46098</v>
      </c>
      <c r="B2746">
        <v>3</v>
      </c>
      <c r="C2746" t="s">
        <v>541</v>
      </c>
      <c r="D2746" t="s">
        <v>10</v>
      </c>
      <c r="E2746" t="s">
        <v>423</v>
      </c>
      <c r="F2746" t="s">
        <v>12</v>
      </c>
      <c r="G2746" t="s">
        <v>346</v>
      </c>
      <c r="I2746" s="42">
        <v>746.99</v>
      </c>
      <c r="J2746" s="42"/>
      <c r="K2746" s="42"/>
      <c r="L2746" s="42">
        <v>746.99</v>
      </c>
      <c r="N2746" s="42">
        <v>746.99</v>
      </c>
    </row>
    <row r="2747" spans="1:14" x14ac:dyDescent="0.25">
      <c r="A2747" s="1">
        <v>46098</v>
      </c>
      <c r="B2747">
        <v>3</v>
      </c>
      <c r="C2747" t="s">
        <v>541</v>
      </c>
      <c r="D2747" t="s">
        <v>10</v>
      </c>
      <c r="E2747" t="s">
        <v>439</v>
      </c>
      <c r="F2747" t="s">
        <v>52</v>
      </c>
      <c r="G2747" t="s">
        <v>346</v>
      </c>
      <c r="I2747" s="42">
        <v>1251.99</v>
      </c>
      <c r="J2747" s="42">
        <v>30</v>
      </c>
      <c r="K2747" s="42"/>
      <c r="L2747" s="42">
        <v>1281.99</v>
      </c>
      <c r="N2747" s="42">
        <v>1281.99</v>
      </c>
    </row>
    <row r="2748" spans="1:14" x14ac:dyDescent="0.25">
      <c r="A2748" s="1">
        <v>46098</v>
      </c>
      <c r="B2748">
        <v>3</v>
      </c>
      <c r="C2748" t="s">
        <v>541</v>
      </c>
      <c r="D2748" t="s">
        <v>10</v>
      </c>
      <c r="E2748" t="s">
        <v>450</v>
      </c>
      <c r="F2748" t="s">
        <v>451</v>
      </c>
      <c r="G2748" t="s">
        <v>346</v>
      </c>
      <c r="I2748" s="42">
        <v>1351.99</v>
      </c>
      <c r="J2748" s="42">
        <v>30</v>
      </c>
      <c r="K2748" s="42"/>
      <c r="L2748" s="42">
        <v>1381.99</v>
      </c>
      <c r="N2748" s="42">
        <v>1381.99</v>
      </c>
    </row>
    <row r="2749" spans="1:14" x14ac:dyDescent="0.25">
      <c r="A2749" s="1">
        <v>46098</v>
      </c>
      <c r="B2749">
        <v>3</v>
      </c>
      <c r="C2749" t="s">
        <v>541</v>
      </c>
      <c r="D2749" t="s">
        <v>10</v>
      </c>
      <c r="E2749" t="s">
        <v>499</v>
      </c>
      <c r="F2749" t="s">
        <v>500</v>
      </c>
      <c r="G2749" t="s">
        <v>363</v>
      </c>
      <c r="I2749" s="42">
        <v>1101.99</v>
      </c>
      <c r="J2749" s="42"/>
      <c r="K2749" s="42"/>
      <c r="L2749" s="42">
        <v>1101.99</v>
      </c>
      <c r="N2749" s="42">
        <v>1101.99</v>
      </c>
    </row>
    <row r="2750" spans="1:14" x14ac:dyDescent="0.25">
      <c r="A2750" s="1">
        <v>46098</v>
      </c>
      <c r="B2750">
        <v>3</v>
      </c>
      <c r="C2750" t="s">
        <v>541</v>
      </c>
      <c r="D2750" t="s">
        <v>10</v>
      </c>
      <c r="E2750" t="s">
        <v>456</v>
      </c>
      <c r="F2750" t="s">
        <v>41</v>
      </c>
      <c r="G2750" t="s">
        <v>457</v>
      </c>
      <c r="I2750" s="42">
        <v>746.99</v>
      </c>
      <c r="J2750" s="42"/>
      <c r="K2750" s="42">
        <v>1.99</v>
      </c>
      <c r="L2750" s="42">
        <v>745</v>
      </c>
      <c r="N2750" s="42">
        <v>745</v>
      </c>
    </row>
    <row r="2751" spans="1:14" x14ac:dyDescent="0.25">
      <c r="A2751" s="1">
        <v>46098</v>
      </c>
      <c r="B2751">
        <v>3</v>
      </c>
      <c r="C2751" t="s">
        <v>541</v>
      </c>
      <c r="D2751" t="s">
        <v>10</v>
      </c>
      <c r="E2751" t="s">
        <v>458</v>
      </c>
      <c r="F2751" t="s">
        <v>41</v>
      </c>
      <c r="G2751" t="s">
        <v>380</v>
      </c>
      <c r="I2751" s="42">
        <v>746.99</v>
      </c>
      <c r="J2751" s="42"/>
      <c r="K2751" s="42">
        <v>1.99</v>
      </c>
      <c r="L2751" s="42">
        <v>745</v>
      </c>
      <c r="N2751" s="42">
        <v>745</v>
      </c>
    </row>
    <row r="2752" spans="1:14" x14ac:dyDescent="0.25">
      <c r="A2752" s="1">
        <v>46098</v>
      </c>
      <c r="B2752">
        <v>3</v>
      </c>
      <c r="C2752" t="s">
        <v>541</v>
      </c>
      <c r="D2752" t="s">
        <v>10</v>
      </c>
      <c r="E2752" t="s">
        <v>460</v>
      </c>
      <c r="F2752" t="s">
        <v>41</v>
      </c>
      <c r="G2752" t="s">
        <v>346</v>
      </c>
      <c r="I2752" s="42">
        <v>746.99</v>
      </c>
      <c r="J2752" s="42"/>
      <c r="K2752" s="42">
        <v>70</v>
      </c>
      <c r="L2752" s="42">
        <v>676.99</v>
      </c>
      <c r="N2752" s="42">
        <v>676.99</v>
      </c>
    </row>
    <row r="2753" spans="1:14" x14ac:dyDescent="0.25">
      <c r="A2753" s="1">
        <v>46098</v>
      </c>
      <c r="B2753">
        <v>3</v>
      </c>
      <c r="C2753" t="s">
        <v>541</v>
      </c>
      <c r="D2753" t="s">
        <v>10</v>
      </c>
      <c r="E2753" t="s">
        <v>463</v>
      </c>
      <c r="F2753" t="s">
        <v>158</v>
      </c>
      <c r="G2753" t="s">
        <v>346</v>
      </c>
      <c r="I2753" s="42">
        <v>746.99</v>
      </c>
      <c r="J2753" s="42"/>
      <c r="K2753" s="42">
        <v>1.99</v>
      </c>
      <c r="L2753" s="42">
        <v>745</v>
      </c>
      <c r="N2753" s="42">
        <v>745</v>
      </c>
    </row>
    <row r="2754" spans="1:14" x14ac:dyDescent="0.25">
      <c r="A2754" s="1">
        <v>46098</v>
      </c>
      <c r="B2754">
        <v>3</v>
      </c>
      <c r="C2754" t="s">
        <v>541</v>
      </c>
      <c r="D2754" t="s">
        <v>10</v>
      </c>
      <c r="E2754" t="s">
        <v>465</v>
      </c>
      <c r="F2754" t="s">
        <v>41</v>
      </c>
      <c r="G2754" t="s">
        <v>346</v>
      </c>
      <c r="I2754" s="42">
        <v>746.99</v>
      </c>
      <c r="J2754" s="42"/>
      <c r="K2754" s="42">
        <v>30</v>
      </c>
      <c r="L2754" s="42">
        <v>716.99</v>
      </c>
      <c r="N2754" s="42">
        <v>716.99</v>
      </c>
    </row>
    <row r="2755" spans="1:14" x14ac:dyDescent="0.25">
      <c r="A2755" s="1">
        <v>46098</v>
      </c>
      <c r="B2755">
        <v>3</v>
      </c>
      <c r="C2755" t="s">
        <v>541</v>
      </c>
      <c r="D2755" t="s">
        <v>10</v>
      </c>
      <c r="E2755" t="s">
        <v>470</v>
      </c>
      <c r="F2755" t="s">
        <v>55</v>
      </c>
      <c r="G2755" t="s">
        <v>346</v>
      </c>
      <c r="I2755" s="42">
        <v>746.99</v>
      </c>
      <c r="J2755" s="42">
        <v>28.01</v>
      </c>
      <c r="K2755" s="42"/>
      <c r="L2755" s="42">
        <v>775</v>
      </c>
      <c r="N2755" s="42">
        <v>775</v>
      </c>
    </row>
    <row r="2756" spans="1:14" x14ac:dyDescent="0.25">
      <c r="A2756" s="1">
        <v>46098</v>
      </c>
      <c r="B2756">
        <v>3</v>
      </c>
      <c r="C2756" t="s">
        <v>541</v>
      </c>
      <c r="D2756" t="s">
        <v>10</v>
      </c>
      <c r="E2756" t="s">
        <v>471</v>
      </c>
      <c r="F2756" t="s">
        <v>472</v>
      </c>
      <c r="G2756" t="s">
        <v>346</v>
      </c>
      <c r="I2756" s="42">
        <v>746.99</v>
      </c>
      <c r="J2756" s="42">
        <v>30.01</v>
      </c>
      <c r="K2756" s="42"/>
      <c r="L2756" s="42">
        <v>777</v>
      </c>
      <c r="N2756" s="42">
        <v>777</v>
      </c>
    </row>
    <row r="2757" spans="1:14" x14ac:dyDescent="0.25">
      <c r="A2757" s="1">
        <v>46098</v>
      </c>
      <c r="B2757">
        <v>3</v>
      </c>
      <c r="C2757" t="s">
        <v>541</v>
      </c>
      <c r="D2757" t="s">
        <v>10</v>
      </c>
      <c r="E2757" t="s">
        <v>474</v>
      </c>
      <c r="F2757" t="s">
        <v>230</v>
      </c>
      <c r="G2757" t="s">
        <v>467</v>
      </c>
      <c r="I2757" s="42">
        <v>746.99</v>
      </c>
      <c r="J2757" s="42">
        <v>30</v>
      </c>
      <c r="K2757" s="42"/>
      <c r="L2757" s="42">
        <v>776.99</v>
      </c>
      <c r="N2757" s="42">
        <v>776.99</v>
      </c>
    </row>
    <row r="2758" spans="1:14" x14ac:dyDescent="0.25">
      <c r="A2758" s="1">
        <v>46098</v>
      </c>
      <c r="B2758">
        <v>3</v>
      </c>
      <c r="C2758" t="s">
        <v>541</v>
      </c>
      <c r="D2758" t="s">
        <v>10</v>
      </c>
      <c r="E2758" t="s">
        <v>478</v>
      </c>
      <c r="F2758" t="s">
        <v>158</v>
      </c>
      <c r="G2758" t="s">
        <v>346</v>
      </c>
      <c r="I2758" s="42">
        <v>746.99</v>
      </c>
      <c r="J2758" s="42"/>
      <c r="K2758" s="42"/>
      <c r="L2758" s="42">
        <v>746.99</v>
      </c>
      <c r="N2758" s="42">
        <v>746.99</v>
      </c>
    </row>
    <row r="2759" spans="1:14" x14ac:dyDescent="0.25">
      <c r="A2759" s="1">
        <v>46098</v>
      </c>
      <c r="B2759">
        <v>3</v>
      </c>
      <c r="C2759" t="s">
        <v>541</v>
      </c>
      <c r="D2759" t="s">
        <v>10</v>
      </c>
      <c r="E2759" t="s">
        <v>481</v>
      </c>
      <c r="F2759" t="s">
        <v>41</v>
      </c>
      <c r="G2759" t="s">
        <v>398</v>
      </c>
      <c r="I2759" s="42">
        <v>746.99</v>
      </c>
      <c r="J2759" s="42"/>
      <c r="K2759" s="42">
        <v>267.86</v>
      </c>
      <c r="L2759" s="42">
        <v>479.13</v>
      </c>
      <c r="N2759" s="42">
        <v>479.13</v>
      </c>
    </row>
    <row r="2760" spans="1:14" x14ac:dyDescent="0.25">
      <c r="A2760" s="1">
        <v>46098</v>
      </c>
      <c r="B2760">
        <v>3</v>
      </c>
      <c r="C2760" t="s">
        <v>541</v>
      </c>
      <c r="D2760" t="s">
        <v>10</v>
      </c>
      <c r="E2760" t="s">
        <v>483</v>
      </c>
      <c r="F2760" t="s">
        <v>158</v>
      </c>
      <c r="G2760" t="s">
        <v>346</v>
      </c>
      <c r="I2760" s="42">
        <v>746.99</v>
      </c>
      <c r="J2760" s="42"/>
      <c r="K2760" s="42">
        <v>94.19</v>
      </c>
      <c r="L2760" s="42">
        <v>652.79999999999995</v>
      </c>
      <c r="N2760" s="42">
        <v>652.79999999999995</v>
      </c>
    </row>
    <row r="2761" spans="1:14" x14ac:dyDescent="0.25">
      <c r="A2761" s="1">
        <v>46098</v>
      </c>
      <c r="B2761">
        <v>3</v>
      </c>
      <c r="C2761" t="s">
        <v>541</v>
      </c>
      <c r="D2761" t="s">
        <v>10</v>
      </c>
      <c r="E2761" t="s">
        <v>484</v>
      </c>
      <c r="F2761" t="s">
        <v>158</v>
      </c>
      <c r="G2761" t="s">
        <v>346</v>
      </c>
      <c r="I2761" s="42">
        <v>746.99</v>
      </c>
      <c r="J2761" s="42">
        <v>120.01</v>
      </c>
      <c r="K2761" s="42"/>
      <c r="L2761" s="42">
        <v>867</v>
      </c>
      <c r="N2761" s="42">
        <v>867</v>
      </c>
    </row>
    <row r="2762" spans="1:14" x14ac:dyDescent="0.25">
      <c r="A2762" s="1">
        <v>46098</v>
      </c>
      <c r="B2762">
        <v>3</v>
      </c>
      <c r="C2762" t="s">
        <v>541</v>
      </c>
      <c r="D2762" t="s">
        <v>10</v>
      </c>
      <c r="E2762" t="s">
        <v>485</v>
      </c>
      <c r="F2762" t="s">
        <v>37</v>
      </c>
      <c r="G2762" t="s">
        <v>346</v>
      </c>
      <c r="I2762" s="42">
        <v>746.99</v>
      </c>
      <c r="J2762" s="42"/>
      <c r="K2762" s="42"/>
      <c r="L2762" s="42">
        <v>746.99</v>
      </c>
      <c r="N2762" s="42">
        <v>746.99</v>
      </c>
    </row>
    <row r="2763" spans="1:14" x14ac:dyDescent="0.25">
      <c r="A2763" s="1">
        <v>46098</v>
      </c>
      <c r="B2763">
        <v>3</v>
      </c>
      <c r="C2763" t="s">
        <v>541</v>
      </c>
      <c r="D2763" t="s">
        <v>10</v>
      </c>
      <c r="E2763" t="s">
        <v>488</v>
      </c>
      <c r="F2763" t="s">
        <v>407</v>
      </c>
      <c r="G2763" t="s">
        <v>346</v>
      </c>
      <c r="I2763" s="42">
        <v>801.99</v>
      </c>
      <c r="J2763" s="42"/>
      <c r="K2763" s="42">
        <v>396.99</v>
      </c>
      <c r="L2763" s="42">
        <v>405</v>
      </c>
      <c r="N2763" s="42">
        <v>405</v>
      </c>
    </row>
    <row r="2764" spans="1:14" x14ac:dyDescent="0.25">
      <c r="A2764" s="1">
        <v>46098</v>
      </c>
      <c r="B2764">
        <v>3</v>
      </c>
      <c r="C2764" t="s">
        <v>541</v>
      </c>
      <c r="D2764" t="s">
        <v>10</v>
      </c>
      <c r="E2764" t="s">
        <v>490</v>
      </c>
      <c r="F2764" t="s">
        <v>403</v>
      </c>
      <c r="G2764" t="s">
        <v>346</v>
      </c>
      <c r="I2764" s="42">
        <v>1001.99</v>
      </c>
      <c r="J2764" s="42"/>
      <c r="K2764" s="42">
        <v>311.99</v>
      </c>
      <c r="L2764" s="42">
        <v>735</v>
      </c>
      <c r="N2764" s="42">
        <v>690</v>
      </c>
    </row>
    <row r="2765" spans="1:14" x14ac:dyDescent="0.25">
      <c r="A2765" s="1">
        <v>46098</v>
      </c>
      <c r="B2765">
        <v>3</v>
      </c>
      <c r="C2765" t="s">
        <v>541</v>
      </c>
      <c r="D2765" t="s">
        <v>10</v>
      </c>
      <c r="E2765" t="s">
        <v>702</v>
      </c>
      <c r="F2765" t="s">
        <v>55</v>
      </c>
      <c r="G2765" t="s">
        <v>349</v>
      </c>
      <c r="I2765" s="42">
        <v>746.99</v>
      </c>
      <c r="J2765" s="42">
        <v>119.91</v>
      </c>
      <c r="K2765" s="42"/>
      <c r="L2765" s="42">
        <v>866.9</v>
      </c>
      <c r="N2765" s="42">
        <v>866.9</v>
      </c>
    </row>
    <row r="2766" spans="1:14" x14ac:dyDescent="0.25">
      <c r="A2766" s="1">
        <v>46098</v>
      </c>
      <c r="B2766">
        <v>3</v>
      </c>
      <c r="C2766" t="s">
        <v>541</v>
      </c>
      <c r="D2766" t="s">
        <v>10</v>
      </c>
      <c r="E2766" t="s">
        <v>492</v>
      </c>
      <c r="F2766" t="s">
        <v>28</v>
      </c>
      <c r="G2766" t="s">
        <v>493</v>
      </c>
      <c r="I2766" s="42">
        <v>931.99</v>
      </c>
      <c r="J2766" s="42">
        <v>30</v>
      </c>
      <c r="K2766" s="42"/>
      <c r="L2766" s="42">
        <v>961.99</v>
      </c>
      <c r="N2766" s="42">
        <v>961.99</v>
      </c>
    </row>
    <row r="2767" spans="1:14" x14ac:dyDescent="0.25">
      <c r="A2767" s="1">
        <v>46098</v>
      </c>
      <c r="B2767">
        <v>3</v>
      </c>
      <c r="C2767" t="s">
        <v>542</v>
      </c>
      <c r="D2767" t="s">
        <v>136</v>
      </c>
      <c r="E2767" t="s">
        <v>502</v>
      </c>
      <c r="F2767" t="s">
        <v>55</v>
      </c>
      <c r="G2767" t="s">
        <v>346</v>
      </c>
      <c r="I2767" s="42">
        <v>746.99</v>
      </c>
      <c r="J2767" s="42"/>
      <c r="K2767" s="42"/>
      <c r="L2767" s="42">
        <v>746.99</v>
      </c>
      <c r="N2767" s="42"/>
    </row>
    <row r="2768" spans="1:14" x14ac:dyDescent="0.25">
      <c r="A2768" s="1">
        <v>46098</v>
      </c>
      <c r="B2768">
        <v>3</v>
      </c>
      <c r="C2768" t="s">
        <v>541</v>
      </c>
      <c r="D2768" t="s">
        <v>10</v>
      </c>
      <c r="E2768" t="s">
        <v>417</v>
      </c>
      <c r="F2768" t="s">
        <v>52</v>
      </c>
      <c r="G2768" t="s">
        <v>359</v>
      </c>
      <c r="I2768" s="42">
        <v>1251.99</v>
      </c>
      <c r="J2768" s="42">
        <v>30.01</v>
      </c>
      <c r="K2768" s="42"/>
      <c r="L2768" s="42">
        <v>1282</v>
      </c>
      <c r="N2768" s="42">
        <v>1282</v>
      </c>
    </row>
    <row r="2769" spans="1:14" x14ac:dyDescent="0.25">
      <c r="A2769" s="1">
        <v>46098</v>
      </c>
      <c r="B2769">
        <v>3</v>
      </c>
      <c r="C2769" t="s">
        <v>541</v>
      </c>
      <c r="D2769" t="s">
        <v>10</v>
      </c>
      <c r="E2769" t="s">
        <v>446</v>
      </c>
      <c r="F2769" t="s">
        <v>447</v>
      </c>
      <c r="G2769" t="s">
        <v>349</v>
      </c>
      <c r="I2769" s="42">
        <v>851.99</v>
      </c>
      <c r="J2769" s="42">
        <v>17.7</v>
      </c>
      <c r="K2769" s="42"/>
      <c r="L2769" s="42">
        <v>869.69</v>
      </c>
      <c r="N2769" s="42">
        <v>869.69</v>
      </c>
    </row>
    <row r="2770" spans="1:14" x14ac:dyDescent="0.25">
      <c r="A2770" s="1">
        <v>46098</v>
      </c>
      <c r="B2770">
        <v>3</v>
      </c>
      <c r="C2770" t="s">
        <v>541</v>
      </c>
      <c r="D2770" t="s">
        <v>10</v>
      </c>
      <c r="E2770" t="s">
        <v>475</v>
      </c>
      <c r="F2770" t="s">
        <v>37</v>
      </c>
      <c r="G2770" t="s">
        <v>467</v>
      </c>
      <c r="I2770" s="42">
        <v>746.99</v>
      </c>
      <c r="J2770" s="42"/>
      <c r="K2770" s="42"/>
      <c r="L2770" s="42">
        <v>746.99</v>
      </c>
      <c r="N2770" s="42">
        <v>746.99</v>
      </c>
    </row>
    <row r="2771" spans="1:14" x14ac:dyDescent="0.25">
      <c r="A2771" s="1">
        <v>46098</v>
      </c>
      <c r="B2771">
        <v>3</v>
      </c>
      <c r="C2771" t="s">
        <v>541</v>
      </c>
      <c r="D2771" t="s">
        <v>10</v>
      </c>
      <c r="E2771" t="s">
        <v>476</v>
      </c>
      <c r="F2771" t="s">
        <v>158</v>
      </c>
      <c r="G2771" t="s">
        <v>346</v>
      </c>
      <c r="I2771" s="42">
        <v>746.99</v>
      </c>
      <c r="J2771" s="42"/>
      <c r="K2771" s="42"/>
      <c r="L2771" s="42">
        <v>746.99</v>
      </c>
      <c r="N2771" s="42">
        <v>746.99</v>
      </c>
    </row>
    <row r="2772" spans="1:14" x14ac:dyDescent="0.25">
      <c r="A2772" s="1">
        <v>46098</v>
      </c>
      <c r="B2772">
        <v>3</v>
      </c>
      <c r="C2772" t="s">
        <v>542</v>
      </c>
      <c r="D2772" t="s">
        <v>136</v>
      </c>
      <c r="E2772" t="s">
        <v>511</v>
      </c>
      <c r="F2772" t="s">
        <v>512</v>
      </c>
      <c r="G2772" t="s">
        <v>346</v>
      </c>
      <c r="I2772" s="42">
        <v>746.99</v>
      </c>
      <c r="J2772" s="42"/>
      <c r="K2772" s="42"/>
      <c r="L2772" s="42">
        <v>746.99</v>
      </c>
      <c r="N2772" s="42"/>
    </row>
    <row r="2773" spans="1:14" x14ac:dyDescent="0.25">
      <c r="A2773" s="1">
        <v>46098</v>
      </c>
      <c r="B2773">
        <v>3</v>
      </c>
      <c r="C2773" t="s">
        <v>541</v>
      </c>
      <c r="D2773" t="s">
        <v>10</v>
      </c>
      <c r="E2773" t="s">
        <v>479</v>
      </c>
      <c r="F2773" t="s">
        <v>41</v>
      </c>
      <c r="G2773" t="s">
        <v>398</v>
      </c>
      <c r="I2773" s="42">
        <v>746.99</v>
      </c>
      <c r="J2773" s="42">
        <v>30</v>
      </c>
      <c r="K2773" s="42"/>
      <c r="L2773" s="42">
        <v>776.99</v>
      </c>
      <c r="N2773" s="42">
        <v>776.99</v>
      </c>
    </row>
    <row r="2774" spans="1:14" x14ac:dyDescent="0.25">
      <c r="A2774" s="1">
        <v>46098</v>
      </c>
      <c r="B2774">
        <v>3</v>
      </c>
      <c r="C2774" t="s">
        <v>542</v>
      </c>
      <c r="D2774" t="s">
        <v>336</v>
      </c>
      <c r="E2774" t="s">
        <v>507</v>
      </c>
      <c r="F2774" t="s">
        <v>403</v>
      </c>
      <c r="G2774" t="s">
        <v>346</v>
      </c>
      <c r="I2774" s="42">
        <v>1001.99</v>
      </c>
      <c r="J2774" s="42"/>
      <c r="K2774" s="42"/>
      <c r="L2774" s="42">
        <v>1001.99</v>
      </c>
      <c r="N2774" s="42"/>
    </row>
    <row r="2775" spans="1:14" x14ac:dyDescent="0.25">
      <c r="A2775" s="1">
        <v>46098</v>
      </c>
      <c r="B2775">
        <v>3</v>
      </c>
      <c r="C2775" t="s">
        <v>541</v>
      </c>
      <c r="D2775" t="s">
        <v>10</v>
      </c>
      <c r="E2775" t="s">
        <v>504</v>
      </c>
      <c r="F2775" t="s">
        <v>37</v>
      </c>
      <c r="G2775" t="s">
        <v>420</v>
      </c>
      <c r="I2775" s="42">
        <v>746.99</v>
      </c>
      <c r="J2775" s="42"/>
      <c r="K2775" s="42"/>
      <c r="L2775" s="42">
        <v>746.99</v>
      </c>
      <c r="N2775" s="42">
        <v>746.99</v>
      </c>
    </row>
    <row r="2776" spans="1:14" x14ac:dyDescent="0.25">
      <c r="A2776" s="1">
        <v>46098</v>
      </c>
      <c r="B2776">
        <v>3</v>
      </c>
      <c r="C2776" t="s">
        <v>541</v>
      </c>
      <c r="D2776" t="s">
        <v>10</v>
      </c>
      <c r="E2776" t="s">
        <v>716</v>
      </c>
      <c r="F2776" t="s">
        <v>94</v>
      </c>
      <c r="G2776" t="s">
        <v>462</v>
      </c>
      <c r="I2776" s="42">
        <v>746.99</v>
      </c>
      <c r="J2776" s="42"/>
      <c r="K2776" s="42">
        <v>320.14</v>
      </c>
      <c r="L2776" s="42">
        <v>426.85</v>
      </c>
      <c r="N2776" s="42">
        <v>426.85</v>
      </c>
    </row>
    <row r="2777" spans="1:14" x14ac:dyDescent="0.25">
      <c r="A2777" s="1">
        <v>46098</v>
      </c>
      <c r="B2777">
        <v>3</v>
      </c>
      <c r="C2777" t="s">
        <v>541</v>
      </c>
      <c r="D2777" t="s">
        <v>10</v>
      </c>
      <c r="E2777" t="s">
        <v>717</v>
      </c>
      <c r="F2777" t="s">
        <v>718</v>
      </c>
      <c r="G2777" t="s">
        <v>462</v>
      </c>
      <c r="I2777" s="42">
        <v>1601.99</v>
      </c>
      <c r="J2777" s="42"/>
      <c r="K2777" s="42">
        <v>231.99</v>
      </c>
      <c r="L2777" s="42">
        <v>1370</v>
      </c>
      <c r="N2777" s="42">
        <v>1370</v>
      </c>
    </row>
    <row r="2778" spans="1:14" x14ac:dyDescent="0.25">
      <c r="A2778" s="1">
        <v>46098</v>
      </c>
      <c r="B2778">
        <v>3</v>
      </c>
      <c r="C2778" t="s">
        <v>541</v>
      </c>
      <c r="D2778" t="s">
        <v>10</v>
      </c>
      <c r="E2778" t="s">
        <v>412</v>
      </c>
      <c r="F2778" t="s">
        <v>403</v>
      </c>
      <c r="G2778" t="s">
        <v>346</v>
      </c>
      <c r="I2778" s="42">
        <v>1001.99</v>
      </c>
      <c r="J2778" s="42">
        <v>0.01</v>
      </c>
      <c r="K2778" s="42"/>
      <c r="L2778" s="42">
        <v>1002</v>
      </c>
      <c r="N2778" s="42">
        <v>1002</v>
      </c>
    </row>
    <row r="2779" spans="1:14" x14ac:dyDescent="0.25">
      <c r="A2779" s="1">
        <v>46098</v>
      </c>
      <c r="B2779">
        <v>3</v>
      </c>
      <c r="C2779" t="s">
        <v>541</v>
      </c>
      <c r="D2779" t="s">
        <v>10</v>
      </c>
      <c r="E2779" t="s">
        <v>501</v>
      </c>
      <c r="F2779" t="s">
        <v>12</v>
      </c>
      <c r="G2779" t="s">
        <v>346</v>
      </c>
      <c r="I2779" s="42">
        <v>746.99</v>
      </c>
      <c r="J2779" s="42"/>
      <c r="K2779" s="42"/>
      <c r="L2779" s="42">
        <v>1341.99</v>
      </c>
      <c r="N2779" s="42">
        <v>746.99</v>
      </c>
    </row>
    <row r="2780" spans="1:14" x14ac:dyDescent="0.25">
      <c r="A2780" s="1">
        <v>46098</v>
      </c>
      <c r="B2780">
        <v>3</v>
      </c>
      <c r="C2780" t="s">
        <v>541</v>
      </c>
      <c r="D2780" t="s">
        <v>10</v>
      </c>
      <c r="E2780" t="s">
        <v>440</v>
      </c>
      <c r="F2780" t="s">
        <v>411</v>
      </c>
      <c r="G2780" t="s">
        <v>346</v>
      </c>
      <c r="I2780" s="42">
        <v>1251.99</v>
      </c>
      <c r="J2780" s="42">
        <v>30</v>
      </c>
      <c r="K2780" s="42"/>
      <c r="L2780" s="42">
        <v>1281.99</v>
      </c>
      <c r="N2780" s="42">
        <v>1281.99</v>
      </c>
    </row>
    <row r="2781" spans="1:14" x14ac:dyDescent="0.25">
      <c r="A2781" s="1">
        <v>46098</v>
      </c>
      <c r="B2781">
        <v>3</v>
      </c>
      <c r="C2781" t="s">
        <v>541</v>
      </c>
      <c r="D2781" t="s">
        <v>10</v>
      </c>
      <c r="E2781" t="s">
        <v>427</v>
      </c>
      <c r="F2781" t="s">
        <v>116</v>
      </c>
      <c r="G2781" t="s">
        <v>363</v>
      </c>
      <c r="I2781" s="42">
        <v>746.99</v>
      </c>
      <c r="J2781" s="42"/>
      <c r="K2781" s="42">
        <v>1.99</v>
      </c>
      <c r="L2781" s="42">
        <v>745</v>
      </c>
      <c r="N2781" s="42">
        <v>745</v>
      </c>
    </row>
    <row r="2782" spans="1:14" x14ac:dyDescent="0.25">
      <c r="A2782" s="1">
        <v>46098</v>
      </c>
      <c r="B2782">
        <v>3</v>
      </c>
      <c r="C2782" t="s">
        <v>541</v>
      </c>
      <c r="D2782" t="s">
        <v>10</v>
      </c>
      <c r="E2782" t="s">
        <v>538</v>
      </c>
      <c r="F2782" t="s">
        <v>178</v>
      </c>
      <c r="G2782" t="s">
        <v>409</v>
      </c>
      <c r="I2782" s="42">
        <v>801.99</v>
      </c>
      <c r="J2782" s="42"/>
      <c r="K2782" s="42">
        <v>0.99</v>
      </c>
      <c r="L2782" s="42">
        <v>846</v>
      </c>
      <c r="N2782" s="42">
        <v>801</v>
      </c>
    </row>
    <row r="2783" spans="1:14" x14ac:dyDescent="0.25">
      <c r="A2783" s="1">
        <v>46098</v>
      </c>
      <c r="B2783">
        <v>3</v>
      </c>
      <c r="C2783" t="s">
        <v>541</v>
      </c>
      <c r="D2783" t="s">
        <v>10</v>
      </c>
      <c r="E2783" t="s">
        <v>429</v>
      </c>
      <c r="F2783" t="s">
        <v>158</v>
      </c>
      <c r="G2783" t="s">
        <v>346</v>
      </c>
      <c r="I2783" s="42">
        <v>746.99</v>
      </c>
      <c r="J2783" s="42"/>
      <c r="K2783" s="42">
        <v>319.29000000000002</v>
      </c>
      <c r="L2783" s="42">
        <v>427.7</v>
      </c>
      <c r="N2783" s="42">
        <v>427.7</v>
      </c>
    </row>
    <row r="2784" spans="1:14" x14ac:dyDescent="0.25">
      <c r="A2784" s="1">
        <v>46098</v>
      </c>
      <c r="B2784">
        <v>3</v>
      </c>
      <c r="C2784" t="s">
        <v>541</v>
      </c>
      <c r="D2784" t="s">
        <v>10</v>
      </c>
      <c r="E2784" t="s">
        <v>503</v>
      </c>
      <c r="F2784" t="s">
        <v>69</v>
      </c>
      <c r="G2784" t="s">
        <v>349</v>
      </c>
      <c r="I2784" s="42">
        <v>801.99</v>
      </c>
      <c r="J2784" s="42">
        <v>0.01</v>
      </c>
      <c r="K2784" s="42"/>
      <c r="L2784" s="42">
        <v>802</v>
      </c>
      <c r="N2784" s="42">
        <v>802</v>
      </c>
    </row>
    <row r="2785" spans="1:14" x14ac:dyDescent="0.25">
      <c r="A2785" s="1">
        <v>46098</v>
      </c>
      <c r="B2785">
        <v>3</v>
      </c>
      <c r="C2785" t="s">
        <v>541</v>
      </c>
      <c r="D2785" t="s">
        <v>10</v>
      </c>
      <c r="E2785" t="s">
        <v>527</v>
      </c>
      <c r="F2785" t="s">
        <v>158</v>
      </c>
      <c r="G2785" t="s">
        <v>346</v>
      </c>
      <c r="I2785" s="42">
        <v>746.99</v>
      </c>
      <c r="J2785" s="42"/>
      <c r="K2785" s="42"/>
      <c r="L2785" s="42">
        <v>746.99</v>
      </c>
      <c r="N2785" s="42">
        <v>746.99</v>
      </c>
    </row>
    <row r="2786" spans="1:14" x14ac:dyDescent="0.25">
      <c r="A2786" s="1">
        <v>46098</v>
      </c>
      <c r="B2786">
        <v>3</v>
      </c>
      <c r="C2786" t="s">
        <v>541</v>
      </c>
      <c r="D2786" t="s">
        <v>99</v>
      </c>
      <c r="E2786" t="s">
        <v>366</v>
      </c>
      <c r="F2786" t="s">
        <v>52</v>
      </c>
      <c r="G2786" t="s">
        <v>346</v>
      </c>
      <c r="I2786" s="42">
        <v>1251.99</v>
      </c>
      <c r="J2786" s="42"/>
      <c r="K2786" s="42"/>
      <c r="L2786" s="42">
        <v>1251.99</v>
      </c>
      <c r="N2786" s="42"/>
    </row>
    <row r="2787" spans="1:14" x14ac:dyDescent="0.25">
      <c r="A2787" s="1">
        <v>46098</v>
      </c>
      <c r="B2787">
        <v>3</v>
      </c>
      <c r="C2787" t="s">
        <v>541</v>
      </c>
      <c r="D2787" t="s">
        <v>10</v>
      </c>
      <c r="E2787" t="s">
        <v>410</v>
      </c>
      <c r="F2787" t="s">
        <v>411</v>
      </c>
      <c r="G2787" t="s">
        <v>346</v>
      </c>
      <c r="I2787" s="42">
        <v>1251.99</v>
      </c>
      <c r="J2787" s="42"/>
      <c r="K2787" s="42"/>
      <c r="L2787" s="42">
        <v>1846.99</v>
      </c>
      <c r="N2787" s="42">
        <v>1251.99</v>
      </c>
    </row>
    <row r="2788" spans="1:14" x14ac:dyDescent="0.25">
      <c r="A2788" s="1">
        <v>46098</v>
      </c>
      <c r="B2788">
        <v>3</v>
      </c>
      <c r="C2788" t="s">
        <v>542</v>
      </c>
      <c r="D2788" t="s">
        <v>89</v>
      </c>
      <c r="E2788" t="s">
        <v>505</v>
      </c>
      <c r="F2788" t="s">
        <v>158</v>
      </c>
      <c r="G2788" t="s">
        <v>346</v>
      </c>
      <c r="I2788" s="42">
        <v>746.99</v>
      </c>
      <c r="J2788" s="42"/>
      <c r="K2788" s="42"/>
      <c r="L2788" s="42">
        <v>746.99</v>
      </c>
      <c r="N2788" s="42"/>
    </row>
    <row r="2789" spans="1:14" x14ac:dyDescent="0.25">
      <c r="A2789" s="1">
        <v>46098</v>
      </c>
      <c r="B2789">
        <v>3</v>
      </c>
      <c r="C2789" t="s">
        <v>541</v>
      </c>
      <c r="D2789" t="s">
        <v>10</v>
      </c>
      <c r="E2789" t="s">
        <v>506</v>
      </c>
      <c r="F2789" t="s">
        <v>158</v>
      </c>
      <c r="G2789" t="s">
        <v>346</v>
      </c>
      <c r="I2789" s="42">
        <v>746.99</v>
      </c>
      <c r="J2789" s="42"/>
      <c r="K2789" s="42">
        <v>337.73</v>
      </c>
      <c r="L2789" s="42">
        <v>409.26</v>
      </c>
      <c r="N2789" s="42">
        <v>409.26</v>
      </c>
    </row>
    <row r="2790" spans="1:14" x14ac:dyDescent="0.25">
      <c r="A2790" s="1">
        <v>46098</v>
      </c>
      <c r="B2790">
        <v>3</v>
      </c>
      <c r="C2790" t="s">
        <v>542</v>
      </c>
      <c r="D2790" t="s">
        <v>99</v>
      </c>
      <c r="E2790" t="s">
        <v>464</v>
      </c>
      <c r="F2790" t="s">
        <v>55</v>
      </c>
      <c r="G2790" t="s">
        <v>346</v>
      </c>
      <c r="I2790" s="42">
        <v>746.99</v>
      </c>
      <c r="J2790" s="42"/>
      <c r="K2790" s="42"/>
      <c r="L2790" s="42">
        <v>746.99</v>
      </c>
      <c r="N2790" s="42"/>
    </row>
    <row r="2791" spans="1:14" x14ac:dyDescent="0.25">
      <c r="A2791" s="1">
        <v>46098</v>
      </c>
      <c r="B2791">
        <v>3</v>
      </c>
      <c r="C2791" t="s">
        <v>541</v>
      </c>
      <c r="D2791" t="s">
        <v>10</v>
      </c>
      <c r="E2791" t="s">
        <v>362</v>
      </c>
      <c r="F2791" t="s">
        <v>52</v>
      </c>
      <c r="G2791" t="s">
        <v>363</v>
      </c>
      <c r="I2791" s="42">
        <v>1251.99</v>
      </c>
      <c r="J2791" s="42"/>
      <c r="K2791" s="42"/>
      <c r="L2791" s="42">
        <v>1846.99</v>
      </c>
      <c r="N2791" s="42">
        <v>1251.99</v>
      </c>
    </row>
    <row r="2792" spans="1:14" x14ac:dyDescent="0.25">
      <c r="A2792" s="1">
        <v>46098</v>
      </c>
      <c r="B2792">
        <v>3</v>
      </c>
      <c r="C2792" t="s">
        <v>542</v>
      </c>
      <c r="D2792" t="s">
        <v>136</v>
      </c>
      <c r="E2792" t="s">
        <v>452</v>
      </c>
      <c r="F2792" t="s">
        <v>12</v>
      </c>
      <c r="G2792" t="s">
        <v>346</v>
      </c>
      <c r="I2792" s="42">
        <v>746.99</v>
      </c>
      <c r="J2792" s="42"/>
      <c r="K2792" s="42"/>
      <c r="L2792" s="42">
        <v>746.99</v>
      </c>
      <c r="N2792" s="42"/>
    </row>
    <row r="2793" spans="1:14" x14ac:dyDescent="0.25">
      <c r="A2793" s="1">
        <v>46098</v>
      </c>
      <c r="B2793">
        <v>3</v>
      </c>
      <c r="C2793" t="s">
        <v>541</v>
      </c>
      <c r="D2793" t="s">
        <v>10</v>
      </c>
      <c r="E2793" t="s">
        <v>494</v>
      </c>
      <c r="F2793" t="s">
        <v>69</v>
      </c>
      <c r="G2793" t="s">
        <v>349</v>
      </c>
      <c r="I2793" s="42">
        <v>801.99</v>
      </c>
      <c r="J2793" s="42">
        <v>0.01</v>
      </c>
      <c r="K2793" s="42"/>
      <c r="L2793" s="42">
        <v>802</v>
      </c>
      <c r="N2793" s="42">
        <v>802</v>
      </c>
    </row>
    <row r="2794" spans="1:14" x14ac:dyDescent="0.25">
      <c r="A2794" s="1">
        <v>46098</v>
      </c>
      <c r="B2794">
        <v>3</v>
      </c>
      <c r="C2794" t="s">
        <v>542</v>
      </c>
      <c r="D2794" t="s">
        <v>336</v>
      </c>
      <c r="E2794" t="s">
        <v>461</v>
      </c>
      <c r="F2794" t="s">
        <v>41</v>
      </c>
      <c r="G2794" t="s">
        <v>462</v>
      </c>
      <c r="I2794" s="42">
        <v>746.99</v>
      </c>
      <c r="J2794" s="42"/>
      <c r="K2794" s="42"/>
      <c r="L2794" s="42">
        <v>746.99</v>
      </c>
      <c r="N2794" s="42"/>
    </row>
    <row r="2795" spans="1:14" x14ac:dyDescent="0.25">
      <c r="A2795" s="1">
        <v>46098</v>
      </c>
      <c r="B2795">
        <v>3</v>
      </c>
      <c r="C2795" t="s">
        <v>542</v>
      </c>
      <c r="D2795" t="s">
        <v>336</v>
      </c>
      <c r="E2795" t="s">
        <v>480</v>
      </c>
      <c r="F2795" t="s">
        <v>158</v>
      </c>
      <c r="G2795" t="s">
        <v>346</v>
      </c>
      <c r="I2795" s="42">
        <v>746.99</v>
      </c>
      <c r="J2795" s="42"/>
      <c r="K2795" s="42"/>
      <c r="L2795" s="42">
        <v>746.99</v>
      </c>
      <c r="N2795" s="42"/>
    </row>
    <row r="2796" spans="1:14" x14ac:dyDescent="0.25">
      <c r="A2796" s="1">
        <v>46098</v>
      </c>
      <c r="B2796">
        <v>3</v>
      </c>
      <c r="C2796" t="s">
        <v>541</v>
      </c>
      <c r="D2796" t="s">
        <v>10</v>
      </c>
      <c r="E2796" t="s">
        <v>487</v>
      </c>
      <c r="F2796" t="s">
        <v>52</v>
      </c>
      <c r="G2796" t="s">
        <v>359</v>
      </c>
      <c r="I2796" s="42">
        <v>1251.99</v>
      </c>
      <c r="J2796" s="42"/>
      <c r="K2796" s="42"/>
      <c r="L2796" s="42">
        <v>1746.99</v>
      </c>
      <c r="N2796" s="42">
        <v>1251.99</v>
      </c>
    </row>
    <row r="2797" spans="1:14" x14ac:dyDescent="0.25">
      <c r="A2797" s="1">
        <v>46098</v>
      </c>
      <c r="B2797">
        <v>3</v>
      </c>
      <c r="C2797" t="s">
        <v>541</v>
      </c>
      <c r="D2797" t="s">
        <v>10</v>
      </c>
      <c r="E2797" t="s">
        <v>712</v>
      </c>
      <c r="F2797" t="s">
        <v>383</v>
      </c>
      <c r="G2797" t="s">
        <v>370</v>
      </c>
      <c r="I2797" s="42">
        <v>991.99</v>
      </c>
      <c r="J2797" s="42"/>
      <c r="K2797" s="42"/>
      <c r="L2797" s="42">
        <v>1100</v>
      </c>
      <c r="N2797" s="42">
        <v>991.99</v>
      </c>
    </row>
    <row r="2798" spans="1:14" x14ac:dyDescent="0.25">
      <c r="A2798" s="1">
        <v>46098</v>
      </c>
      <c r="B2798">
        <v>3</v>
      </c>
      <c r="C2798" t="s">
        <v>542</v>
      </c>
      <c r="D2798" t="s">
        <v>99</v>
      </c>
      <c r="E2798" t="s">
        <v>421</v>
      </c>
      <c r="F2798" t="s">
        <v>422</v>
      </c>
      <c r="G2798" t="s">
        <v>346</v>
      </c>
      <c r="I2798" s="42">
        <v>1251.99</v>
      </c>
      <c r="J2798" s="42"/>
      <c r="K2798" s="42"/>
      <c r="L2798" s="42">
        <v>1251.99</v>
      </c>
      <c r="N2798" s="42"/>
    </row>
    <row r="2799" spans="1:14" x14ac:dyDescent="0.25">
      <c r="A2799" s="1">
        <v>46098</v>
      </c>
      <c r="B2799">
        <v>3</v>
      </c>
      <c r="C2799" t="s">
        <v>542</v>
      </c>
      <c r="D2799" t="s">
        <v>336</v>
      </c>
      <c r="E2799" t="s">
        <v>390</v>
      </c>
      <c r="F2799" t="s">
        <v>12</v>
      </c>
      <c r="G2799" t="s">
        <v>346</v>
      </c>
      <c r="I2799" s="42">
        <v>746.99</v>
      </c>
      <c r="J2799" s="42"/>
      <c r="K2799" s="42"/>
      <c r="L2799" s="42">
        <v>746.99</v>
      </c>
      <c r="N2799" s="42"/>
    </row>
    <row r="2800" spans="1:14" x14ac:dyDescent="0.25">
      <c r="A2800" s="1">
        <v>46098</v>
      </c>
      <c r="B2800">
        <v>3</v>
      </c>
      <c r="C2800" t="s">
        <v>542</v>
      </c>
      <c r="D2800" t="s">
        <v>89</v>
      </c>
      <c r="E2800" t="s">
        <v>473</v>
      </c>
      <c r="F2800" t="s">
        <v>158</v>
      </c>
      <c r="G2800" t="s">
        <v>346</v>
      </c>
      <c r="I2800" s="42">
        <v>746.99</v>
      </c>
      <c r="J2800" s="42"/>
      <c r="K2800" s="42"/>
      <c r="L2800" s="42">
        <v>746.99</v>
      </c>
      <c r="N2800" s="42"/>
    </row>
    <row r="2801" spans="1:14" x14ac:dyDescent="0.25">
      <c r="A2801" s="1">
        <v>46098</v>
      </c>
      <c r="B2801">
        <v>3</v>
      </c>
      <c r="C2801" t="s">
        <v>542</v>
      </c>
      <c r="D2801" t="s">
        <v>89</v>
      </c>
      <c r="E2801" t="s">
        <v>377</v>
      </c>
      <c r="F2801" t="s">
        <v>158</v>
      </c>
      <c r="G2801" t="s">
        <v>378</v>
      </c>
      <c r="I2801" s="42">
        <v>746.99</v>
      </c>
      <c r="J2801" s="42"/>
      <c r="K2801" s="42"/>
      <c r="L2801" s="42">
        <v>746.99</v>
      </c>
      <c r="N2801" s="42"/>
    </row>
    <row r="2802" spans="1:14" x14ac:dyDescent="0.25">
      <c r="A2802" s="1">
        <v>46098</v>
      </c>
      <c r="B2802">
        <v>3</v>
      </c>
      <c r="C2802" t="s">
        <v>542</v>
      </c>
      <c r="D2802" t="s">
        <v>99</v>
      </c>
      <c r="E2802" t="s">
        <v>431</v>
      </c>
      <c r="F2802" t="s">
        <v>230</v>
      </c>
      <c r="G2802" t="s">
        <v>346</v>
      </c>
      <c r="I2802" s="42">
        <v>746.99</v>
      </c>
      <c r="J2802" s="42"/>
      <c r="K2802" s="42"/>
      <c r="L2802" s="42">
        <v>746.99</v>
      </c>
      <c r="N2802" s="42"/>
    </row>
    <row r="2803" spans="1:14" x14ac:dyDescent="0.25">
      <c r="A2803" s="1">
        <v>46098</v>
      </c>
      <c r="B2803">
        <v>3</v>
      </c>
      <c r="C2803" t="s">
        <v>542</v>
      </c>
      <c r="D2803" t="s">
        <v>336</v>
      </c>
      <c r="E2803" t="s">
        <v>367</v>
      </c>
      <c r="F2803" t="s">
        <v>52</v>
      </c>
      <c r="G2803" t="s">
        <v>346</v>
      </c>
      <c r="I2803" s="42">
        <v>1251.99</v>
      </c>
      <c r="J2803" s="42"/>
      <c r="K2803" s="42"/>
      <c r="L2803" s="42">
        <v>1251.99</v>
      </c>
      <c r="N2803" s="42"/>
    </row>
    <row r="2804" spans="1:14" x14ac:dyDescent="0.25">
      <c r="A2804" s="1">
        <v>46098</v>
      </c>
      <c r="B2804">
        <v>3</v>
      </c>
      <c r="C2804" t="s">
        <v>542</v>
      </c>
      <c r="D2804" t="s">
        <v>336</v>
      </c>
      <c r="E2804" t="s">
        <v>528</v>
      </c>
      <c r="F2804" t="s">
        <v>158</v>
      </c>
      <c r="G2804" t="s">
        <v>346</v>
      </c>
      <c r="I2804" s="42">
        <v>746.99</v>
      </c>
      <c r="J2804" s="42"/>
      <c r="K2804" s="42"/>
      <c r="L2804" s="42">
        <v>746.99</v>
      </c>
      <c r="N2804" s="42"/>
    </row>
    <row r="2805" spans="1:14" x14ac:dyDescent="0.25">
      <c r="A2805" s="1">
        <v>46098</v>
      </c>
      <c r="B2805">
        <v>3</v>
      </c>
      <c r="C2805" t="s">
        <v>542</v>
      </c>
      <c r="D2805" t="s">
        <v>99</v>
      </c>
      <c r="E2805" t="s">
        <v>883</v>
      </c>
      <c r="F2805" t="s">
        <v>69</v>
      </c>
      <c r="G2805" t="s">
        <v>884</v>
      </c>
      <c r="I2805" s="42"/>
      <c r="J2805" s="42"/>
      <c r="K2805" s="42"/>
      <c r="L2805" s="42"/>
      <c r="N2805" s="42"/>
    </row>
    <row r="2806" spans="1:14" x14ac:dyDescent="0.25">
      <c r="A2806" s="1">
        <v>46098</v>
      </c>
      <c r="B2806">
        <v>3</v>
      </c>
      <c r="C2806" t="s">
        <v>542</v>
      </c>
      <c r="D2806" t="s">
        <v>99</v>
      </c>
      <c r="E2806" t="s">
        <v>885</v>
      </c>
      <c r="F2806" t="s">
        <v>55</v>
      </c>
      <c r="G2806" t="s">
        <v>886</v>
      </c>
      <c r="I2806" s="42">
        <v>746.99</v>
      </c>
      <c r="J2806" s="42"/>
      <c r="K2806" s="42"/>
      <c r="L2806" s="42">
        <v>746.99</v>
      </c>
      <c r="N2806" s="42"/>
    </row>
    <row r="2807" spans="1:14" x14ac:dyDescent="0.25">
      <c r="A2807" s="1">
        <v>46098</v>
      </c>
      <c r="B2807">
        <v>3</v>
      </c>
      <c r="C2807" t="s">
        <v>541</v>
      </c>
      <c r="D2807" t="s">
        <v>10</v>
      </c>
      <c r="E2807" t="s">
        <v>887</v>
      </c>
      <c r="F2807" t="s">
        <v>28</v>
      </c>
      <c r="G2807" t="s">
        <v>888</v>
      </c>
      <c r="I2807" s="42">
        <v>931.99</v>
      </c>
      <c r="J2807" s="42"/>
      <c r="K2807" s="42"/>
      <c r="L2807" s="42">
        <v>976.99</v>
      </c>
      <c r="N2807" s="42">
        <v>931.99</v>
      </c>
    </row>
    <row r="2808" spans="1:14" x14ac:dyDescent="0.25">
      <c r="A2808" s="1">
        <v>46098</v>
      </c>
      <c r="B2808">
        <v>3</v>
      </c>
      <c r="C2808" t="s">
        <v>542</v>
      </c>
      <c r="D2808" t="s">
        <v>234</v>
      </c>
      <c r="E2808" t="s">
        <v>889</v>
      </c>
      <c r="F2808" t="s">
        <v>28</v>
      </c>
      <c r="G2808" t="s">
        <v>888</v>
      </c>
      <c r="I2808" s="42"/>
      <c r="J2808" s="42"/>
      <c r="K2808" s="42"/>
      <c r="L2808" s="42"/>
      <c r="N2808" s="42"/>
    </row>
    <row r="2809" spans="1:14" x14ac:dyDescent="0.25">
      <c r="A2809" s="1">
        <v>46098</v>
      </c>
      <c r="B2809">
        <v>3</v>
      </c>
      <c r="C2809" t="s">
        <v>542</v>
      </c>
      <c r="D2809" t="s">
        <v>336</v>
      </c>
      <c r="E2809" t="s">
        <v>530</v>
      </c>
      <c r="F2809" t="s">
        <v>52</v>
      </c>
      <c r="G2809" t="s">
        <v>515</v>
      </c>
      <c r="I2809" s="42">
        <v>1251.99</v>
      </c>
      <c r="J2809" s="42"/>
      <c r="K2809" s="42"/>
      <c r="L2809" s="42">
        <v>1251.99</v>
      </c>
      <c r="N2809" s="42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5B929-1B1E-46B2-9F54-BC5CE628ADEC}">
  <dimension ref="A1:F60"/>
  <sheetViews>
    <sheetView workbookViewId="0">
      <selection activeCell="B12" sqref="B12:B15"/>
    </sheetView>
  </sheetViews>
  <sheetFormatPr defaultRowHeight="15" x14ac:dyDescent="0.25"/>
  <cols>
    <col min="1" max="1" width="24.42578125" customWidth="1"/>
    <col min="2" max="2" width="20" customWidth="1"/>
    <col min="3" max="3" width="23.28515625" bestFit="1" customWidth="1"/>
    <col min="4" max="4" width="18.42578125" bestFit="1" customWidth="1"/>
    <col min="5" max="5" width="14.28515625" customWidth="1"/>
    <col min="6" max="6" width="12.42578125" customWidth="1"/>
    <col min="7" max="7" width="23.42578125" bestFit="1" customWidth="1"/>
    <col min="8" max="8" width="12.85546875" customWidth="1"/>
    <col min="9" max="9" width="11.140625" customWidth="1"/>
  </cols>
  <sheetData>
    <row r="1" spans="1:6" ht="15.75" x14ac:dyDescent="0.25">
      <c r="A1" s="31" t="s">
        <v>657</v>
      </c>
      <c r="B1" s="31" t="s">
        <v>658</v>
      </c>
      <c r="C1" s="31" t="s">
        <v>659</v>
      </c>
      <c r="D1" s="31" t="s">
        <v>545</v>
      </c>
      <c r="E1" s="31" t="s">
        <v>660</v>
      </c>
      <c r="F1" s="31" t="s">
        <v>661</v>
      </c>
    </row>
    <row r="2" spans="1:6" x14ac:dyDescent="0.25">
      <c r="A2" s="30" t="s">
        <v>662</v>
      </c>
      <c r="B2" s="32">
        <v>1135877.9099999999</v>
      </c>
      <c r="C2" s="33" t="s">
        <v>663</v>
      </c>
      <c r="D2" s="34">
        <v>46023</v>
      </c>
      <c r="E2" s="35" t="str">
        <f>TEXT(RECEITAS[[#This Row],[Data]],"mmmm")</f>
        <v>janeiro</v>
      </c>
      <c r="F2" s="36">
        <f>YEAR(RECEITAS[[#This Row],[Data]])</f>
        <v>2026</v>
      </c>
    </row>
    <row r="3" spans="1:6" x14ac:dyDescent="0.25">
      <c r="A3" s="30" t="s">
        <v>662</v>
      </c>
      <c r="B3" s="32">
        <v>199983.07</v>
      </c>
      <c r="C3" s="33" t="s">
        <v>663</v>
      </c>
      <c r="D3" s="34">
        <v>46054</v>
      </c>
      <c r="E3" s="35" t="str">
        <f>TEXT(RECEITAS[[#This Row],[Data]],"mmmm")</f>
        <v>fevereiro</v>
      </c>
      <c r="F3" s="36">
        <f>YEAR(RECEITAS[[#This Row],[Data]])</f>
        <v>2026</v>
      </c>
    </row>
    <row r="4" spans="1:6" x14ac:dyDescent="0.25">
      <c r="A4" s="30" t="s">
        <v>662</v>
      </c>
      <c r="B4" s="32">
        <v>16602.400000000001</v>
      </c>
      <c r="C4" s="33" t="s">
        <v>664</v>
      </c>
      <c r="D4" s="34">
        <v>46023</v>
      </c>
      <c r="E4" s="35" t="str">
        <f>TEXT(RECEITAS[[#This Row],[Data]],"mmmm")</f>
        <v>janeiro</v>
      </c>
      <c r="F4" s="36">
        <f>YEAR(RECEITAS[[#This Row],[Data]])</f>
        <v>2026</v>
      </c>
    </row>
    <row r="5" spans="1:6" x14ac:dyDescent="0.25">
      <c r="A5" s="30" t="s">
        <v>662</v>
      </c>
      <c r="B5" s="32">
        <v>4963.76</v>
      </c>
      <c r="C5" s="33" t="s">
        <v>665</v>
      </c>
      <c r="D5" s="34">
        <v>46023</v>
      </c>
      <c r="E5" s="35" t="str">
        <f>TEXT(RECEITAS[[#This Row],[Data]],"mmmm")</f>
        <v>janeiro</v>
      </c>
      <c r="F5" s="36">
        <f>YEAR(RECEITAS[[#This Row],[Data]])</f>
        <v>2026</v>
      </c>
    </row>
    <row r="6" spans="1:6" x14ac:dyDescent="0.25">
      <c r="A6" s="30" t="s">
        <v>662</v>
      </c>
      <c r="B6" s="32">
        <v>17973.52</v>
      </c>
      <c r="C6" s="33" t="s">
        <v>663</v>
      </c>
      <c r="D6" s="34">
        <v>46059</v>
      </c>
      <c r="E6" s="35" t="str">
        <f>TEXT(RECEITAS[[#This Row],[Data]],"mmmm")</f>
        <v>fevereiro</v>
      </c>
      <c r="F6" s="36">
        <f>YEAR(RECEITAS[[#This Row],[Data]])</f>
        <v>2026</v>
      </c>
    </row>
    <row r="7" spans="1:6" x14ac:dyDescent="0.25">
      <c r="A7" s="30" t="s">
        <v>662</v>
      </c>
      <c r="B7" s="32">
        <v>200669.96</v>
      </c>
      <c r="C7" s="33" t="s">
        <v>663</v>
      </c>
      <c r="D7" s="34">
        <v>46065</v>
      </c>
      <c r="E7" s="35" t="str">
        <f>TEXT(RECEITAS[[#This Row],[Data]],"mmmm")</f>
        <v>fevereiro</v>
      </c>
      <c r="F7" s="36">
        <f>YEAR(RECEITAS[[#This Row],[Data]])</f>
        <v>2026</v>
      </c>
    </row>
    <row r="8" spans="1:6" x14ac:dyDescent="0.25">
      <c r="A8" s="30" t="s">
        <v>662</v>
      </c>
      <c r="B8" s="32">
        <v>11825.03</v>
      </c>
      <c r="C8" s="33" t="s">
        <v>663</v>
      </c>
      <c r="D8" s="34">
        <v>46065</v>
      </c>
      <c r="E8" s="35" t="str">
        <f>TEXT(RECEITAS[[#This Row],[Data]],"mmmm")</f>
        <v>fevereiro</v>
      </c>
      <c r="F8" s="36">
        <f>YEAR(RECEITAS[[#This Row],[Data]])</f>
        <v>2026</v>
      </c>
    </row>
    <row r="9" spans="1:6" x14ac:dyDescent="0.25">
      <c r="A9" s="30" t="s">
        <v>662</v>
      </c>
      <c r="B9" s="37">
        <v>402191.49</v>
      </c>
      <c r="C9" s="33" t="s">
        <v>663</v>
      </c>
      <c r="D9" s="34">
        <v>46079</v>
      </c>
      <c r="E9" s="35" t="str">
        <f>TEXT(RECEITAS[[#This Row],[Data]],"mmmm")</f>
        <v>fevereiro</v>
      </c>
      <c r="F9" s="36">
        <f>YEAR(RECEITAS[[#This Row],[Data]])</f>
        <v>2026</v>
      </c>
    </row>
    <row r="10" spans="1:6" x14ac:dyDescent="0.25">
      <c r="A10" s="30" t="s">
        <v>662</v>
      </c>
      <c r="B10" s="32">
        <v>22933.360000000001</v>
      </c>
      <c r="C10" s="33" t="s">
        <v>663</v>
      </c>
      <c r="D10" s="34">
        <v>46079</v>
      </c>
      <c r="E10" s="35" t="str">
        <f>TEXT(RECEITAS[[#This Row],[Data]],"mmmm")</f>
        <v>fevereiro</v>
      </c>
      <c r="F10" s="36">
        <f>YEAR(RECEITAS[[#This Row],[Data]])</f>
        <v>2026</v>
      </c>
    </row>
    <row r="11" spans="1:6" x14ac:dyDescent="0.25">
      <c r="A11" s="30" t="s">
        <v>662</v>
      </c>
      <c r="B11" s="32">
        <v>79588.63</v>
      </c>
      <c r="C11" s="33" t="s">
        <v>663</v>
      </c>
      <c r="D11" s="34">
        <v>46081</v>
      </c>
      <c r="E11" s="35" t="str">
        <f>TEXT(RECEITAS[[#This Row],[Data]],"mmmm")</f>
        <v>fevereiro</v>
      </c>
      <c r="F11" s="36">
        <f>YEAR(RECEITAS[[#This Row],[Data]])</f>
        <v>2026</v>
      </c>
    </row>
    <row r="12" spans="1:6" x14ac:dyDescent="0.25">
      <c r="A12" s="30" t="s">
        <v>662</v>
      </c>
      <c r="B12" s="32">
        <v>46360.61</v>
      </c>
      <c r="C12" s="33" t="s">
        <v>663</v>
      </c>
      <c r="D12" s="34">
        <v>46099</v>
      </c>
      <c r="E12" s="35" t="str">
        <f>TEXT(RECEITAS[[#This Row],[Data]],"mmmm")</f>
        <v>março</v>
      </c>
      <c r="F12" s="36">
        <f>YEAR(RECEITAS[[#This Row],[Data]])</f>
        <v>2026</v>
      </c>
    </row>
    <row r="13" spans="1:6" x14ac:dyDescent="0.25">
      <c r="A13" s="30" t="s">
        <v>662</v>
      </c>
      <c r="B13" s="32">
        <v>607196.49</v>
      </c>
      <c r="C13" s="33" t="s">
        <v>663</v>
      </c>
      <c r="D13" s="34">
        <v>46099</v>
      </c>
      <c r="E13" s="35" t="str">
        <f>TEXT(RECEITAS[[#This Row],[Data]],"mmmm")</f>
        <v>março</v>
      </c>
      <c r="F13" s="36">
        <f>YEAR(RECEITAS[[#This Row],[Data]])</f>
        <v>2026</v>
      </c>
    </row>
    <row r="14" spans="1:6" x14ac:dyDescent="0.25">
      <c r="A14" s="30" t="s">
        <v>662</v>
      </c>
      <c r="B14" s="32">
        <v>325656.15999999997</v>
      </c>
      <c r="C14" s="33" t="s">
        <v>663</v>
      </c>
      <c r="D14" s="34">
        <v>46107</v>
      </c>
      <c r="E14" s="35" t="str">
        <f>TEXT(RECEITAS[[#This Row],[Data]],"mmmm")</f>
        <v>março</v>
      </c>
      <c r="F14" s="36">
        <f>YEAR(RECEITAS[[#This Row],[Data]])</f>
        <v>2026</v>
      </c>
    </row>
    <row r="15" spans="1:6" x14ac:dyDescent="0.25">
      <c r="A15" s="30" t="s">
        <v>662</v>
      </c>
      <c r="B15" s="32">
        <v>14483.98</v>
      </c>
      <c r="C15" s="33" t="s">
        <v>663</v>
      </c>
      <c r="D15" s="34">
        <v>46107</v>
      </c>
      <c r="E15" s="35" t="str">
        <f>TEXT(RECEITAS[[#This Row],[Data]],"mmmm")</f>
        <v>março</v>
      </c>
      <c r="F15" s="36">
        <f>YEAR(RECEITAS[[#This Row],[Data]])</f>
        <v>2026</v>
      </c>
    </row>
    <row r="16" spans="1:6" x14ac:dyDescent="0.25">
      <c r="A16" s="30"/>
      <c r="B16" s="32"/>
      <c r="C16" s="33"/>
      <c r="D16" s="34"/>
      <c r="E16" s="35" t="str">
        <f>TEXT(RECEITAS[[#This Row],[Data]],"mmmm")</f>
        <v>janeiro</v>
      </c>
      <c r="F16" s="36">
        <f>YEAR(RECEITAS[[#This Row],[Data]])</f>
        <v>1900</v>
      </c>
    </row>
    <row r="17" spans="1:6" x14ac:dyDescent="0.25">
      <c r="A17" s="30"/>
      <c r="B17" s="32"/>
      <c r="C17" s="33"/>
      <c r="D17" s="34"/>
      <c r="E17" s="35" t="str">
        <f>TEXT(RECEITAS[[#This Row],[Data]],"mmmm")</f>
        <v>janeiro</v>
      </c>
      <c r="F17" s="36">
        <f>YEAR(RECEITAS[[#This Row],[Data]])</f>
        <v>1900</v>
      </c>
    </row>
    <row r="18" spans="1:6" x14ac:dyDescent="0.25">
      <c r="A18" s="30"/>
      <c r="B18" s="32"/>
      <c r="C18" s="33"/>
      <c r="D18" s="34"/>
      <c r="E18" s="35" t="str">
        <f>TEXT(RECEITAS[[#This Row],[Data]],"mmmm")</f>
        <v>janeiro</v>
      </c>
      <c r="F18" s="36">
        <f>YEAR(RECEITAS[[#This Row],[Data]])</f>
        <v>1900</v>
      </c>
    </row>
    <row r="19" spans="1:6" x14ac:dyDescent="0.25">
      <c r="A19" s="30"/>
      <c r="B19" s="32"/>
      <c r="C19" s="33"/>
      <c r="D19" s="34"/>
      <c r="E19" s="35" t="str">
        <f>TEXT(RECEITAS[[#This Row],[Data]],"mmmm")</f>
        <v>janeiro</v>
      </c>
      <c r="F19" s="36">
        <f>YEAR(RECEITAS[[#This Row],[Data]])</f>
        <v>1900</v>
      </c>
    </row>
    <row r="20" spans="1:6" x14ac:dyDescent="0.25">
      <c r="A20" s="30"/>
      <c r="B20" s="32"/>
      <c r="C20" s="33"/>
      <c r="D20" s="34"/>
      <c r="E20" s="35" t="str">
        <f>TEXT(RECEITAS[[#This Row],[Data]],"mmmm")</f>
        <v>janeiro</v>
      </c>
      <c r="F20" s="36">
        <f>YEAR(RECEITAS[[#This Row],[Data]])</f>
        <v>1900</v>
      </c>
    </row>
    <row r="21" spans="1:6" x14ac:dyDescent="0.25">
      <c r="A21" s="30"/>
      <c r="B21" s="32"/>
      <c r="C21" s="33"/>
      <c r="D21" s="34"/>
      <c r="E21" s="35" t="str">
        <f>TEXT(RECEITAS[[#This Row],[Data]],"mmmm")</f>
        <v>janeiro</v>
      </c>
      <c r="F21" s="36">
        <f>YEAR(RECEITAS[[#This Row],[Data]])</f>
        <v>1900</v>
      </c>
    </row>
    <row r="22" spans="1:6" x14ac:dyDescent="0.25">
      <c r="A22" s="30"/>
      <c r="B22" s="32"/>
      <c r="C22" s="33"/>
      <c r="D22" s="34"/>
      <c r="E22" s="35" t="str">
        <f>TEXT(RECEITAS[[#This Row],[Data]],"mmmm")</f>
        <v>janeiro</v>
      </c>
      <c r="F22" s="36">
        <f>YEAR(RECEITAS[[#This Row],[Data]])</f>
        <v>1900</v>
      </c>
    </row>
    <row r="23" spans="1:6" x14ac:dyDescent="0.25">
      <c r="A23" s="30"/>
      <c r="B23" s="32"/>
      <c r="C23" s="33"/>
      <c r="D23" s="34"/>
      <c r="E23" s="35" t="str">
        <f>TEXT(RECEITAS[[#This Row],[Data]],"mmmm")</f>
        <v>janeiro</v>
      </c>
      <c r="F23" s="36">
        <f>YEAR(RECEITAS[[#This Row],[Data]])</f>
        <v>1900</v>
      </c>
    </row>
    <row r="24" spans="1:6" x14ac:dyDescent="0.25">
      <c r="A24" s="30"/>
      <c r="B24" s="32"/>
      <c r="C24" s="33"/>
      <c r="D24" s="34"/>
      <c r="E24" s="35" t="str">
        <f>TEXT(RECEITAS[[#This Row],[Data]],"mmmm")</f>
        <v>janeiro</v>
      </c>
      <c r="F24" s="36">
        <f>YEAR(RECEITAS[[#This Row],[Data]])</f>
        <v>1900</v>
      </c>
    </row>
    <row r="25" spans="1:6" x14ac:dyDescent="0.25">
      <c r="A25" s="30"/>
      <c r="B25" s="32"/>
      <c r="C25" s="33"/>
      <c r="D25" s="34"/>
      <c r="E25" s="35" t="str">
        <f>TEXT(RECEITAS[[#This Row],[Data]],"mmmm")</f>
        <v>janeiro</v>
      </c>
      <c r="F25" s="36">
        <f>YEAR(RECEITAS[[#This Row],[Data]])</f>
        <v>1900</v>
      </c>
    </row>
    <row r="26" spans="1:6" x14ac:dyDescent="0.25">
      <c r="A26" s="30"/>
      <c r="B26" s="32"/>
      <c r="C26" s="33"/>
      <c r="D26" s="34"/>
      <c r="E26" s="35" t="str">
        <f>TEXT(RECEITAS[[#This Row],[Data]],"mmmm")</f>
        <v>janeiro</v>
      </c>
      <c r="F26" s="36">
        <f>YEAR(RECEITAS[[#This Row],[Data]])</f>
        <v>1900</v>
      </c>
    </row>
    <row r="27" spans="1:6" x14ac:dyDescent="0.25">
      <c r="A27" s="30"/>
      <c r="B27" s="32"/>
      <c r="C27" s="33"/>
      <c r="D27" s="34"/>
      <c r="E27" s="35" t="str">
        <f>TEXT(RECEITAS[[#This Row],[Data]],"mmmm")</f>
        <v>janeiro</v>
      </c>
      <c r="F27" s="36">
        <f>YEAR(RECEITAS[[#This Row],[Data]])</f>
        <v>1900</v>
      </c>
    </row>
    <row r="28" spans="1:6" x14ac:dyDescent="0.25">
      <c r="A28" s="30"/>
      <c r="B28" s="32"/>
      <c r="C28" s="33"/>
      <c r="D28" s="34"/>
      <c r="E28" s="35" t="str">
        <f>TEXT(RECEITAS[[#This Row],[Data]],"mmmm")</f>
        <v>janeiro</v>
      </c>
      <c r="F28" s="36">
        <f>YEAR(RECEITAS[[#This Row],[Data]])</f>
        <v>1900</v>
      </c>
    </row>
    <row r="29" spans="1:6" x14ac:dyDescent="0.25">
      <c r="A29" s="30"/>
      <c r="B29" s="32"/>
      <c r="C29" s="33"/>
      <c r="D29" s="34"/>
      <c r="E29" s="35" t="str">
        <f>TEXT(RECEITAS[[#This Row],[Data]],"mmmm")</f>
        <v>janeiro</v>
      </c>
      <c r="F29" s="36">
        <f>YEAR(RECEITAS[[#This Row],[Data]])</f>
        <v>1900</v>
      </c>
    </row>
    <row r="30" spans="1:6" x14ac:dyDescent="0.25">
      <c r="A30" s="30"/>
      <c r="B30" s="32"/>
      <c r="C30" s="33"/>
      <c r="D30" s="34"/>
      <c r="E30" s="35" t="str">
        <f>TEXT(RECEITAS[[#This Row],[Data]],"mmmm")</f>
        <v>janeiro</v>
      </c>
      <c r="F30" s="36">
        <f>YEAR(RECEITAS[[#This Row],[Data]])</f>
        <v>1900</v>
      </c>
    </row>
    <row r="31" spans="1:6" x14ac:dyDescent="0.25">
      <c r="A31" s="30"/>
      <c r="B31" s="32"/>
      <c r="C31" s="33"/>
      <c r="D31" s="34"/>
      <c r="E31" s="35" t="str">
        <f>TEXT(RECEITAS[[#This Row],[Data]],"mmmm")</f>
        <v>janeiro</v>
      </c>
      <c r="F31" s="36">
        <f>YEAR(RECEITAS[[#This Row],[Data]])</f>
        <v>1900</v>
      </c>
    </row>
    <row r="32" spans="1:6" x14ac:dyDescent="0.25">
      <c r="A32" s="30"/>
      <c r="B32" s="32"/>
      <c r="C32" s="33"/>
      <c r="D32" s="34"/>
      <c r="E32" s="35" t="str">
        <f>TEXT(RECEITAS[[#This Row],[Data]],"mmmm")</f>
        <v>janeiro</v>
      </c>
      <c r="F32" s="36">
        <f>YEAR(RECEITAS[[#This Row],[Data]])</f>
        <v>1900</v>
      </c>
    </row>
    <row r="33" spans="1:6" x14ac:dyDescent="0.25">
      <c r="A33" s="30"/>
      <c r="B33" s="32"/>
      <c r="C33" s="33"/>
      <c r="D33" s="34"/>
      <c r="E33" s="35" t="str">
        <f>TEXT(RECEITAS[[#This Row],[Data]],"mmmm")</f>
        <v>janeiro</v>
      </c>
      <c r="F33" s="36">
        <f>YEAR(RECEITAS[[#This Row],[Data]])</f>
        <v>1900</v>
      </c>
    </row>
    <row r="34" spans="1:6" x14ac:dyDescent="0.25">
      <c r="A34" s="30"/>
      <c r="B34" s="32"/>
      <c r="C34" s="33"/>
      <c r="D34" s="34"/>
      <c r="E34" s="35" t="str">
        <f>TEXT(RECEITAS[[#This Row],[Data]],"mmmm")</f>
        <v>janeiro</v>
      </c>
      <c r="F34" s="36">
        <f>YEAR(RECEITAS[[#This Row],[Data]])</f>
        <v>1900</v>
      </c>
    </row>
    <row r="35" spans="1:6" x14ac:dyDescent="0.25">
      <c r="A35" s="30"/>
      <c r="B35" s="32"/>
      <c r="C35" s="33"/>
      <c r="D35" s="34"/>
      <c r="E35" s="35" t="str">
        <f>TEXT(RECEITAS[[#This Row],[Data]],"mmmm")</f>
        <v>janeiro</v>
      </c>
      <c r="F35" s="36">
        <f>YEAR(RECEITAS[[#This Row],[Data]])</f>
        <v>1900</v>
      </c>
    </row>
    <row r="36" spans="1:6" x14ac:dyDescent="0.25">
      <c r="A36" s="30"/>
      <c r="B36" s="32"/>
      <c r="C36" s="33"/>
      <c r="D36" s="34"/>
      <c r="E36" s="35" t="str">
        <f>TEXT(RECEITAS[[#This Row],[Data]],"mmmm")</f>
        <v>janeiro</v>
      </c>
      <c r="F36" s="36">
        <f>YEAR(RECEITAS[[#This Row],[Data]])</f>
        <v>1900</v>
      </c>
    </row>
    <row r="37" spans="1:6" x14ac:dyDescent="0.25">
      <c r="A37" s="30"/>
      <c r="B37" s="32"/>
      <c r="C37" s="33"/>
      <c r="D37" s="34"/>
      <c r="E37" s="35" t="str">
        <f>TEXT(RECEITAS[[#This Row],[Data]],"mmmm")</f>
        <v>janeiro</v>
      </c>
      <c r="F37" s="36">
        <f>YEAR(RECEITAS[[#This Row],[Data]])</f>
        <v>1900</v>
      </c>
    </row>
    <row r="38" spans="1:6" x14ac:dyDescent="0.25">
      <c r="A38" s="30"/>
      <c r="B38" s="32"/>
      <c r="C38" s="33"/>
      <c r="D38" s="34"/>
      <c r="E38" s="35" t="str">
        <f>TEXT(RECEITAS[[#This Row],[Data]],"mmmm")</f>
        <v>janeiro</v>
      </c>
      <c r="F38" s="36">
        <f>YEAR(RECEITAS[[#This Row],[Data]])</f>
        <v>1900</v>
      </c>
    </row>
    <row r="39" spans="1:6" x14ac:dyDescent="0.25">
      <c r="A39" s="30"/>
      <c r="B39" s="32"/>
      <c r="C39" s="33"/>
      <c r="D39" s="34"/>
      <c r="E39" s="35" t="str">
        <f>TEXT(RECEITAS[[#This Row],[Data]],"mmmm")</f>
        <v>janeiro</v>
      </c>
      <c r="F39" s="36">
        <f>YEAR(RECEITAS[[#This Row],[Data]])</f>
        <v>1900</v>
      </c>
    </row>
    <row r="40" spans="1:6" x14ac:dyDescent="0.25">
      <c r="A40" s="30"/>
      <c r="B40" s="32"/>
      <c r="C40" s="33"/>
      <c r="D40" s="34"/>
      <c r="E40" s="35" t="str">
        <f>TEXT(RECEITAS[[#This Row],[Data]],"mmmm")</f>
        <v>janeiro</v>
      </c>
      <c r="F40" s="36">
        <f>YEAR(RECEITAS[[#This Row],[Data]])</f>
        <v>1900</v>
      </c>
    </row>
    <row r="41" spans="1:6" x14ac:dyDescent="0.25">
      <c r="A41" s="30"/>
      <c r="B41" s="32"/>
      <c r="C41" s="33"/>
      <c r="D41" s="34"/>
      <c r="E41" s="35" t="str">
        <f>TEXT(RECEITAS[[#This Row],[Data]],"mmmm")</f>
        <v>janeiro</v>
      </c>
      <c r="F41" s="36">
        <f>YEAR(RECEITAS[[#This Row],[Data]])</f>
        <v>1900</v>
      </c>
    </row>
    <row r="42" spans="1:6" x14ac:dyDescent="0.25">
      <c r="A42" s="30"/>
      <c r="B42" s="32"/>
      <c r="C42" s="33"/>
      <c r="D42" s="34"/>
      <c r="E42" s="35" t="str">
        <f>TEXT(RECEITAS[[#This Row],[Data]],"mmmm")</f>
        <v>janeiro</v>
      </c>
      <c r="F42" s="36">
        <f>YEAR(RECEITAS[[#This Row],[Data]])</f>
        <v>1900</v>
      </c>
    </row>
    <row r="43" spans="1:6" x14ac:dyDescent="0.25">
      <c r="A43" s="30"/>
      <c r="B43" s="32"/>
      <c r="C43" s="33"/>
      <c r="D43" s="34"/>
      <c r="E43" s="35" t="str">
        <f>TEXT(RECEITAS[[#This Row],[Data]],"mmmm")</f>
        <v>janeiro</v>
      </c>
      <c r="F43" s="36">
        <f>YEAR(RECEITAS[[#This Row],[Data]])</f>
        <v>1900</v>
      </c>
    </row>
    <row r="44" spans="1:6" x14ac:dyDescent="0.25">
      <c r="A44" s="30"/>
      <c r="B44" s="32"/>
      <c r="C44" s="33"/>
      <c r="D44" s="34"/>
      <c r="E44" s="35" t="str">
        <f>TEXT(RECEITAS[[#This Row],[Data]],"mmmm")</f>
        <v>janeiro</v>
      </c>
      <c r="F44" s="36">
        <f>YEAR(RECEITAS[[#This Row],[Data]])</f>
        <v>1900</v>
      </c>
    </row>
    <row r="45" spans="1:6" x14ac:dyDescent="0.25">
      <c r="A45" s="30"/>
      <c r="B45" s="32"/>
      <c r="C45" s="33"/>
      <c r="D45" s="34"/>
      <c r="E45" s="35" t="str">
        <f>TEXT(RECEITAS[[#This Row],[Data]],"mmmm")</f>
        <v>janeiro</v>
      </c>
      <c r="F45" s="36">
        <f>YEAR(RECEITAS[[#This Row],[Data]])</f>
        <v>1900</v>
      </c>
    </row>
    <row r="46" spans="1:6" x14ac:dyDescent="0.25">
      <c r="A46" s="30"/>
      <c r="B46" s="32"/>
      <c r="C46" s="33"/>
      <c r="D46" s="34"/>
      <c r="E46" s="35" t="str">
        <f>TEXT(RECEITAS[[#This Row],[Data]],"mmmm")</f>
        <v>janeiro</v>
      </c>
      <c r="F46" s="36">
        <f>YEAR(RECEITAS[[#This Row],[Data]])</f>
        <v>1900</v>
      </c>
    </row>
    <row r="47" spans="1:6" x14ac:dyDescent="0.25">
      <c r="A47" s="30"/>
      <c r="B47" s="38"/>
      <c r="C47" s="39"/>
      <c r="D47" s="34"/>
      <c r="E47" s="35" t="str">
        <f>TEXT(RECEITAS[[#This Row],[Data]],"mmmm")</f>
        <v>janeiro</v>
      </c>
      <c r="F47" s="36">
        <f>YEAR(RECEITAS[[#This Row],[Data]])</f>
        <v>1900</v>
      </c>
    </row>
    <row r="48" spans="1:6" x14ac:dyDescent="0.25">
      <c r="A48" s="30"/>
      <c r="B48" s="38"/>
      <c r="C48" s="39"/>
      <c r="D48" s="34"/>
      <c r="E48" s="35" t="str">
        <f>TEXT(RECEITAS[[#This Row],[Data]],"mmmm")</f>
        <v>janeiro</v>
      </c>
      <c r="F48" s="36">
        <f>YEAR(RECEITAS[[#This Row],[Data]])</f>
        <v>1900</v>
      </c>
    </row>
    <row r="49" spans="1:6" x14ac:dyDescent="0.25">
      <c r="A49" s="30"/>
      <c r="B49" s="38"/>
      <c r="C49" s="39"/>
      <c r="D49" s="34"/>
      <c r="E49" s="35" t="str">
        <f>TEXT(RECEITAS[[#This Row],[Data]],"mmmm")</f>
        <v>janeiro</v>
      </c>
      <c r="F49" s="36">
        <f>YEAR(RECEITAS[[#This Row],[Data]])</f>
        <v>1900</v>
      </c>
    </row>
    <row r="50" spans="1:6" x14ac:dyDescent="0.25">
      <c r="A50" s="30"/>
      <c r="B50" s="38"/>
      <c r="C50" s="39"/>
      <c r="D50" s="34"/>
      <c r="E50" s="35" t="str">
        <f>TEXT(RECEITAS[[#This Row],[Data]],"mmmm")</f>
        <v>janeiro</v>
      </c>
      <c r="F50" s="36">
        <f>YEAR(RECEITAS[[#This Row],[Data]])</f>
        <v>1900</v>
      </c>
    </row>
    <row r="51" spans="1:6" x14ac:dyDescent="0.25">
      <c r="A51" s="30"/>
      <c r="B51" s="38"/>
      <c r="C51" s="39"/>
      <c r="D51" s="34"/>
      <c r="E51" s="35" t="str">
        <f>TEXT(RECEITAS[[#This Row],[Data]],"mmmm")</f>
        <v>janeiro</v>
      </c>
      <c r="F51" s="36">
        <f>YEAR(RECEITAS[[#This Row],[Data]])</f>
        <v>1900</v>
      </c>
    </row>
    <row r="52" spans="1:6" x14ac:dyDescent="0.25">
      <c r="A52" s="30"/>
      <c r="B52" s="38"/>
      <c r="C52" s="39"/>
      <c r="D52" s="34"/>
      <c r="E52" s="35" t="str">
        <f>TEXT(RECEITAS[[#This Row],[Data]],"mmmm")</f>
        <v>janeiro</v>
      </c>
      <c r="F52" s="36">
        <f>YEAR(RECEITAS[[#This Row],[Data]])</f>
        <v>1900</v>
      </c>
    </row>
    <row r="53" spans="1:6" x14ac:dyDescent="0.25">
      <c r="A53" s="30"/>
      <c r="B53" s="38"/>
      <c r="C53" s="39"/>
      <c r="D53" s="34"/>
      <c r="E53" s="35" t="str">
        <f>TEXT(RECEITAS[[#This Row],[Data]],"mmmm")</f>
        <v>janeiro</v>
      </c>
      <c r="F53" s="36">
        <f>YEAR(RECEITAS[[#This Row],[Data]])</f>
        <v>1900</v>
      </c>
    </row>
    <row r="54" spans="1:6" x14ac:dyDescent="0.25">
      <c r="A54" s="30"/>
      <c r="B54" s="38"/>
      <c r="C54" s="39"/>
      <c r="D54" s="34"/>
      <c r="E54" s="35" t="str">
        <f>TEXT(RECEITAS[[#This Row],[Data]],"mmmm")</f>
        <v>janeiro</v>
      </c>
      <c r="F54" s="36">
        <f>YEAR(RECEITAS[[#This Row],[Data]])</f>
        <v>1900</v>
      </c>
    </row>
    <row r="55" spans="1:6" x14ac:dyDescent="0.25">
      <c r="A55" s="30"/>
      <c r="B55" s="38"/>
      <c r="C55" s="39"/>
      <c r="D55" s="34"/>
      <c r="E55" s="35" t="str">
        <f>TEXT(RECEITAS[[#This Row],[Data]],"mmmm")</f>
        <v>janeiro</v>
      </c>
      <c r="F55" s="36">
        <f>YEAR(RECEITAS[[#This Row],[Data]])</f>
        <v>1900</v>
      </c>
    </row>
    <row r="56" spans="1:6" x14ac:dyDescent="0.25">
      <c r="A56" s="30"/>
      <c r="B56" s="38"/>
      <c r="C56" s="39"/>
      <c r="D56" s="34"/>
      <c r="E56" s="35" t="str">
        <f>TEXT(RECEITAS[[#This Row],[Data]],"mmmm")</f>
        <v>janeiro</v>
      </c>
      <c r="F56" s="36">
        <f>YEAR(RECEITAS[[#This Row],[Data]])</f>
        <v>1900</v>
      </c>
    </row>
    <row r="57" spans="1:6" x14ac:dyDescent="0.25">
      <c r="A57" s="30"/>
      <c r="B57" s="38"/>
      <c r="C57" s="39"/>
      <c r="D57" s="34"/>
      <c r="E57" s="35" t="str">
        <f>TEXT(RECEITAS[[#This Row],[Data]],"mmmm")</f>
        <v>janeiro</v>
      </c>
      <c r="F57" s="36">
        <f>YEAR(RECEITAS[[#This Row],[Data]])</f>
        <v>1900</v>
      </c>
    </row>
    <row r="58" spans="1:6" x14ac:dyDescent="0.25">
      <c r="A58" s="30"/>
      <c r="B58" s="38"/>
      <c r="C58" s="33"/>
      <c r="D58" s="34"/>
      <c r="E58" s="35" t="str">
        <f>TEXT(RECEITAS[[#This Row],[Data]],"mmmm")</f>
        <v>janeiro</v>
      </c>
      <c r="F58" s="36">
        <f>YEAR(RECEITAS[[#This Row],[Data]])</f>
        <v>1900</v>
      </c>
    </row>
    <row r="59" spans="1:6" x14ac:dyDescent="0.25">
      <c r="A59" s="30"/>
      <c r="B59" s="38"/>
      <c r="C59" s="33"/>
      <c r="D59" s="34"/>
      <c r="E59" s="35" t="str">
        <f>TEXT(RECEITAS[[#This Row],[Data]],"mmmm")</f>
        <v>janeiro</v>
      </c>
      <c r="F59" s="36">
        <f>YEAR(RECEITAS[[#This Row],[Data]])</f>
        <v>1900</v>
      </c>
    </row>
    <row r="60" spans="1:6" x14ac:dyDescent="0.25">
      <c r="A60" s="30"/>
      <c r="B60" s="38"/>
      <c r="C60" s="33"/>
      <c r="D60" s="34"/>
      <c r="E60" s="35" t="str">
        <f>TEXT(RECEITAS[[#This Row],[Data]],"mmmm")</f>
        <v>janeiro</v>
      </c>
      <c r="F60" s="36">
        <f>YEAR(RECEITAS[[#This Row],[Data]])</f>
        <v>1900</v>
      </c>
    </row>
  </sheetData>
  <dataValidations count="2">
    <dataValidation type="list" allowBlank="1" showInputMessage="1" showErrorMessage="1" sqref="C2:C60" xr:uid="{AD61CF8B-5F7D-40EF-B68A-DAFF78634658}">
      <formula1>INDIRECT("FONTE_DESTINO[Fonte/Destino]")</formula1>
    </dataValidation>
    <dataValidation type="list" allowBlank="1" showInputMessage="1" showErrorMessage="1" sqref="A2:A60" xr:uid="{FC58DCDC-81A1-4DA7-986B-B8A0B0055119}">
      <formula1>INDIRECT("RECEITA[Receita]")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019FA-2DA1-43AA-9620-92709951834B}">
  <dimension ref="A1:J55"/>
  <sheetViews>
    <sheetView topLeftCell="A25" workbookViewId="0">
      <selection activeCell="D39" sqref="D39:D55"/>
    </sheetView>
  </sheetViews>
  <sheetFormatPr defaultRowHeight="15" x14ac:dyDescent="0.25"/>
  <cols>
    <col min="1" max="1" width="22.42578125" customWidth="1"/>
    <col min="2" max="2" width="30.85546875" hidden="1" customWidth="1"/>
    <col min="3" max="3" width="17.7109375" customWidth="1"/>
    <col min="4" max="4" width="18.85546875" customWidth="1"/>
    <col min="5" max="5" width="23.28515625" bestFit="1" customWidth="1"/>
    <col min="6" max="6" width="17.7109375" customWidth="1"/>
    <col min="7" max="7" width="12.42578125" customWidth="1"/>
    <col min="8" max="8" width="16.140625" customWidth="1"/>
    <col min="9" max="9" width="12.85546875" customWidth="1"/>
    <col min="10" max="10" width="11.140625" customWidth="1"/>
  </cols>
  <sheetData>
    <row r="1" spans="1:10" ht="15.75" x14ac:dyDescent="0.25">
      <c r="A1" s="31" t="s">
        <v>666</v>
      </c>
      <c r="B1" s="31" t="s">
        <v>667</v>
      </c>
      <c r="C1" s="31" t="s">
        <v>668</v>
      </c>
      <c r="D1" s="31" t="s">
        <v>658</v>
      </c>
      <c r="E1" s="31" t="s">
        <v>669</v>
      </c>
      <c r="F1" s="31" t="s">
        <v>545</v>
      </c>
      <c r="G1" s="31" t="s">
        <v>660</v>
      </c>
      <c r="H1" s="31" t="s">
        <v>661</v>
      </c>
    </row>
    <row r="2" spans="1:10" x14ac:dyDescent="0.25">
      <c r="A2" s="30" t="s">
        <v>670</v>
      </c>
      <c r="B2" s="30" t="s">
        <v>671</v>
      </c>
      <c r="C2" s="30" t="s">
        <v>672</v>
      </c>
      <c r="D2" s="32">
        <v>353027.33</v>
      </c>
      <c r="E2" s="33" t="s">
        <v>663</v>
      </c>
      <c r="F2" s="34">
        <v>46023</v>
      </c>
      <c r="G2" s="35" t="str">
        <f>TEXT(DESPESAS[[#This Row],[Data]],"mmmm")</f>
        <v>janeiro</v>
      </c>
      <c r="H2" s="36">
        <f>YEAR(DESPESAS[[#This Row],[Data]])</f>
        <v>2026</v>
      </c>
    </row>
    <row r="3" spans="1:10" x14ac:dyDescent="0.25">
      <c r="A3" s="30" t="s">
        <v>673</v>
      </c>
      <c r="B3" s="30" t="s">
        <v>674</v>
      </c>
      <c r="C3" s="30" t="s">
        <v>672</v>
      </c>
      <c r="D3" s="32">
        <v>2542.71</v>
      </c>
      <c r="E3" s="33" t="s">
        <v>663</v>
      </c>
      <c r="F3" s="34">
        <v>46023</v>
      </c>
      <c r="G3" s="35" t="str">
        <f>TEXT(DESPESAS[[#This Row],[Data]],"mmmm")</f>
        <v>janeiro</v>
      </c>
      <c r="H3" s="36">
        <f>YEAR(DESPESAS[[#This Row],[Data]])</f>
        <v>2026</v>
      </c>
    </row>
    <row r="4" spans="1:10" x14ac:dyDescent="0.25">
      <c r="A4" s="30" t="s">
        <v>675</v>
      </c>
      <c r="B4" s="30" t="s">
        <v>676</v>
      </c>
      <c r="C4" s="30" t="s">
        <v>675</v>
      </c>
      <c r="D4" s="32">
        <v>101725.29</v>
      </c>
      <c r="E4" s="33" t="s">
        <v>663</v>
      </c>
      <c r="F4" s="34">
        <v>46023</v>
      </c>
      <c r="G4" s="35" t="str">
        <f>TEXT(DESPESAS[[#This Row],[Data]],"mmmm")</f>
        <v>janeiro</v>
      </c>
      <c r="H4" s="36">
        <f>YEAR(DESPESAS[[#This Row],[Data]])</f>
        <v>2026</v>
      </c>
    </row>
    <row r="5" spans="1:10" x14ac:dyDescent="0.25">
      <c r="A5" s="30" t="s">
        <v>677</v>
      </c>
      <c r="B5" s="30" t="s">
        <v>678</v>
      </c>
      <c r="C5" s="30" t="s">
        <v>672</v>
      </c>
      <c r="D5" s="32">
        <v>79479.34</v>
      </c>
      <c r="E5" s="33" t="s">
        <v>663</v>
      </c>
      <c r="F5" s="34">
        <v>46023</v>
      </c>
      <c r="G5" s="35" t="str">
        <f>TEXT(DESPESAS[[#This Row],[Data]],"mmmm")</f>
        <v>janeiro</v>
      </c>
      <c r="H5" s="36">
        <f>YEAR(DESPESAS[[#This Row],[Data]])</f>
        <v>2026</v>
      </c>
      <c r="J5" s="40"/>
    </row>
    <row r="6" spans="1:10" x14ac:dyDescent="0.25">
      <c r="A6" s="30" t="s">
        <v>679</v>
      </c>
      <c r="B6" s="30" t="s">
        <v>678</v>
      </c>
      <c r="C6" s="30" t="s">
        <v>672</v>
      </c>
      <c r="D6" s="32">
        <v>79705.25</v>
      </c>
      <c r="E6" s="33" t="s">
        <v>663</v>
      </c>
      <c r="F6" s="34">
        <v>46023</v>
      </c>
      <c r="G6" s="35" t="str">
        <f>TEXT(DESPESAS[[#This Row],[Data]],"mmmm")</f>
        <v>janeiro</v>
      </c>
      <c r="H6" s="36">
        <f>YEAR(DESPESAS[[#This Row],[Data]])</f>
        <v>2026</v>
      </c>
      <c r="J6" s="40"/>
    </row>
    <row r="7" spans="1:10" x14ac:dyDescent="0.25">
      <c r="A7" s="30" t="s">
        <v>680</v>
      </c>
      <c r="B7" s="30" t="s">
        <v>678</v>
      </c>
      <c r="C7" s="30" t="s">
        <v>672</v>
      </c>
      <c r="D7" s="32">
        <v>10118.56</v>
      </c>
      <c r="E7" s="33" t="s">
        <v>663</v>
      </c>
      <c r="F7" s="34">
        <v>46023</v>
      </c>
      <c r="G7" s="35" t="str">
        <f>TEXT(DESPESAS[[#This Row],[Data]],"mmmm")</f>
        <v>janeiro</v>
      </c>
      <c r="H7" s="36">
        <f>YEAR(DESPESAS[[#This Row],[Data]])</f>
        <v>2026</v>
      </c>
      <c r="J7" s="40"/>
    </row>
    <row r="8" spans="1:10" x14ac:dyDescent="0.25">
      <c r="A8" s="30" t="s">
        <v>681</v>
      </c>
      <c r="B8" s="30" t="s">
        <v>674</v>
      </c>
      <c r="C8" s="30" t="s">
        <v>672</v>
      </c>
      <c r="D8" s="32">
        <v>10118.56</v>
      </c>
      <c r="E8" s="33" t="s">
        <v>663</v>
      </c>
      <c r="F8" s="34">
        <v>46023</v>
      </c>
      <c r="G8" s="35" t="str">
        <f>TEXT(DESPESAS[[#This Row],[Data]],"mmmm")</f>
        <v>janeiro</v>
      </c>
      <c r="H8" s="36">
        <f>YEAR(DESPESAS[[#This Row],[Data]])</f>
        <v>2026</v>
      </c>
      <c r="J8" s="40"/>
    </row>
    <row r="9" spans="1:10" x14ac:dyDescent="0.25">
      <c r="A9" s="30" t="s">
        <v>682</v>
      </c>
      <c r="B9" s="30" t="s">
        <v>683</v>
      </c>
      <c r="C9" s="30" t="s">
        <v>672</v>
      </c>
      <c r="D9" s="32">
        <v>5002.91</v>
      </c>
      <c r="E9" s="33" t="s">
        <v>663</v>
      </c>
      <c r="F9" s="34">
        <v>46023</v>
      </c>
      <c r="G9" s="35" t="str">
        <f>TEXT(DESPESAS[[#This Row],[Data]],"mmmm")</f>
        <v>janeiro</v>
      </c>
      <c r="H9" s="36">
        <f>YEAR(DESPESAS[[#This Row],[Data]])</f>
        <v>2026</v>
      </c>
      <c r="J9" s="40"/>
    </row>
    <row r="10" spans="1:10" x14ac:dyDescent="0.25">
      <c r="A10" s="30" t="s">
        <v>684</v>
      </c>
      <c r="B10" s="30" t="s">
        <v>685</v>
      </c>
      <c r="C10" s="30" t="s">
        <v>672</v>
      </c>
      <c r="D10" s="32">
        <v>245882.36</v>
      </c>
      <c r="E10" s="33" t="s">
        <v>686</v>
      </c>
      <c r="F10" s="34">
        <v>46034</v>
      </c>
      <c r="G10" s="35" t="str">
        <f>TEXT(DESPESAS[[#This Row],[Data]],"mmmm")</f>
        <v>janeiro</v>
      </c>
      <c r="H10" s="36">
        <f>YEAR(DESPESAS[[#This Row],[Data]])</f>
        <v>2026</v>
      </c>
    </row>
    <row r="11" spans="1:10" x14ac:dyDescent="0.25">
      <c r="A11" s="30" t="s">
        <v>684</v>
      </c>
      <c r="B11" s="30" t="s">
        <v>687</v>
      </c>
      <c r="C11" s="30" t="s">
        <v>672</v>
      </c>
      <c r="D11" s="32">
        <v>64179.15</v>
      </c>
      <c r="E11" s="33" t="s">
        <v>686</v>
      </c>
      <c r="F11" s="34">
        <v>46059</v>
      </c>
      <c r="G11" s="35" t="str">
        <f>TEXT(DESPESAS[[#This Row],[Data]],"mmmm")</f>
        <v>fevereiro</v>
      </c>
      <c r="H11" s="36">
        <f>YEAR(DESPESAS[[#This Row],[Data]])</f>
        <v>2026</v>
      </c>
    </row>
    <row r="12" spans="1:10" x14ac:dyDescent="0.25">
      <c r="A12" s="30" t="s">
        <v>673</v>
      </c>
      <c r="B12" s="30" t="s">
        <v>688</v>
      </c>
      <c r="C12" s="30" t="s">
        <v>672</v>
      </c>
      <c r="D12" s="32">
        <v>7581.86</v>
      </c>
      <c r="E12" s="33" t="s">
        <v>663</v>
      </c>
      <c r="F12" s="34">
        <v>46059</v>
      </c>
      <c r="G12" s="35" t="str">
        <f>TEXT(DESPESAS[[#This Row],[Data]],"mmmm")</f>
        <v>fevereiro</v>
      </c>
      <c r="H12" s="36">
        <f>YEAR(DESPESAS[[#This Row],[Data]])</f>
        <v>2026</v>
      </c>
    </row>
    <row r="13" spans="1:10" x14ac:dyDescent="0.25">
      <c r="A13" s="30" t="s">
        <v>681</v>
      </c>
      <c r="B13" s="30" t="s">
        <v>689</v>
      </c>
      <c r="C13" s="30" t="s">
        <v>672</v>
      </c>
      <c r="D13" s="32">
        <v>52.8</v>
      </c>
      <c r="E13" s="33" t="s">
        <v>663</v>
      </c>
      <c r="F13" s="34">
        <v>46059</v>
      </c>
      <c r="G13" s="35" t="str">
        <f>TEXT(DESPESAS[[#This Row],[Data]],"mmmm")</f>
        <v>fevereiro</v>
      </c>
      <c r="H13" s="36">
        <f>YEAR(DESPESAS[[#This Row],[Data]])</f>
        <v>2026</v>
      </c>
    </row>
    <row r="14" spans="1:10" x14ac:dyDescent="0.25">
      <c r="A14" s="30" t="s">
        <v>682</v>
      </c>
      <c r="B14" s="30" t="s">
        <v>674</v>
      </c>
      <c r="C14" s="30" t="s">
        <v>672</v>
      </c>
      <c r="D14" s="32">
        <v>1799.26</v>
      </c>
      <c r="E14" s="33" t="s">
        <v>663</v>
      </c>
      <c r="F14" s="34">
        <v>46059</v>
      </c>
      <c r="G14" s="35" t="str">
        <f>TEXT(DESPESAS[[#This Row],[Data]],"mmmm")</f>
        <v>fevereiro</v>
      </c>
      <c r="H14" s="36">
        <f>YEAR(DESPESAS[[#This Row],[Data]])</f>
        <v>2026</v>
      </c>
    </row>
    <row r="15" spans="1:10" x14ac:dyDescent="0.25">
      <c r="A15" s="30" t="s">
        <v>680</v>
      </c>
      <c r="B15" s="30" t="s">
        <v>690</v>
      </c>
      <c r="C15" s="30" t="s">
        <v>672</v>
      </c>
      <c r="D15" s="32">
        <v>517.22</v>
      </c>
      <c r="E15" s="33" t="s">
        <v>663</v>
      </c>
      <c r="F15" s="34">
        <v>46059</v>
      </c>
      <c r="G15" s="35" t="str">
        <f>TEXT(DESPESAS[[#This Row],[Data]],"mmmm")</f>
        <v>fevereiro</v>
      </c>
      <c r="H15" s="36">
        <f>YEAR(DESPESAS[[#This Row],[Data]])</f>
        <v>2026</v>
      </c>
    </row>
    <row r="16" spans="1:10" x14ac:dyDescent="0.25">
      <c r="A16" s="30" t="s">
        <v>675</v>
      </c>
      <c r="B16" s="30" t="s">
        <v>691</v>
      </c>
      <c r="C16" s="30" t="s">
        <v>675</v>
      </c>
      <c r="D16" s="32">
        <v>20909.14</v>
      </c>
      <c r="E16" s="33" t="s">
        <v>663</v>
      </c>
      <c r="F16" s="34">
        <v>46059</v>
      </c>
      <c r="G16" s="35" t="str">
        <f>TEXT(DESPESAS[[#This Row],[Data]],"mmmm")</f>
        <v>fevereiro</v>
      </c>
      <c r="H16" s="36">
        <f>YEAR(DESPESAS[[#This Row],[Data]])</f>
        <v>2026</v>
      </c>
    </row>
    <row r="17" spans="1:8" x14ac:dyDescent="0.25">
      <c r="A17" s="30" t="s">
        <v>692</v>
      </c>
      <c r="B17" s="30" t="s">
        <v>693</v>
      </c>
      <c r="C17" s="30" t="s">
        <v>672</v>
      </c>
      <c r="D17" s="32">
        <v>45085.760000000002</v>
      </c>
      <c r="E17" s="33" t="s">
        <v>663</v>
      </c>
      <c r="F17" s="34">
        <v>46023</v>
      </c>
      <c r="G17" s="35" t="str">
        <f>TEXT(DESPESAS[[#This Row],[Data]],"mmmm")</f>
        <v>janeiro</v>
      </c>
      <c r="H17" s="36">
        <f>YEAR(DESPESAS[[#This Row],[Data]])</f>
        <v>2026</v>
      </c>
    </row>
    <row r="18" spans="1:8" x14ac:dyDescent="0.25">
      <c r="A18" s="30" t="s">
        <v>670</v>
      </c>
      <c r="B18" s="30"/>
      <c r="C18" s="30" t="s">
        <v>672</v>
      </c>
      <c r="D18" s="32">
        <v>56115.08</v>
      </c>
      <c r="E18" s="33" t="s">
        <v>663</v>
      </c>
      <c r="F18" s="34">
        <v>46059</v>
      </c>
      <c r="G18" s="35" t="str">
        <f>TEXT(DESPESAS[[#This Row],[Data]],"mmmm")</f>
        <v>fevereiro</v>
      </c>
      <c r="H18" s="36">
        <f>YEAR(DESPESAS[[#This Row],[Data]])</f>
        <v>2026</v>
      </c>
    </row>
    <row r="19" spans="1:8" x14ac:dyDescent="0.25">
      <c r="A19" s="30" t="s">
        <v>679</v>
      </c>
      <c r="B19" s="30"/>
      <c r="C19" s="30" t="s">
        <v>672</v>
      </c>
      <c r="D19" s="32">
        <v>2901.68</v>
      </c>
      <c r="E19" s="33" t="s">
        <v>663</v>
      </c>
      <c r="F19" s="34">
        <v>46059</v>
      </c>
      <c r="G19" s="35" t="str">
        <f>TEXT(DESPESAS[[#This Row],[Data]],"mmmm")</f>
        <v>fevereiro</v>
      </c>
      <c r="H19" s="36">
        <f>YEAR(DESPESAS[[#This Row],[Data]])</f>
        <v>2026</v>
      </c>
    </row>
    <row r="20" spans="1:8" x14ac:dyDescent="0.25">
      <c r="A20" s="30" t="s">
        <v>677</v>
      </c>
      <c r="B20" s="30"/>
      <c r="C20" s="30" t="s">
        <v>672</v>
      </c>
      <c r="D20" s="32">
        <v>3000</v>
      </c>
      <c r="E20" s="33" t="s">
        <v>663</v>
      </c>
      <c r="F20" s="34">
        <v>46059</v>
      </c>
      <c r="G20" s="35" t="str">
        <f>TEXT(DESPESAS[[#This Row],[Data]],"mmmm")</f>
        <v>fevereiro</v>
      </c>
      <c r="H20" s="36">
        <f>YEAR(DESPESAS[[#This Row],[Data]])</f>
        <v>2026</v>
      </c>
    </row>
    <row r="21" spans="1:8" x14ac:dyDescent="0.25">
      <c r="A21" s="30" t="s">
        <v>684</v>
      </c>
      <c r="B21" s="30"/>
      <c r="C21" s="30" t="s">
        <v>672</v>
      </c>
      <c r="D21" s="32">
        <v>28078.240000000002</v>
      </c>
      <c r="E21" s="33" t="s">
        <v>663</v>
      </c>
      <c r="F21" s="34">
        <v>43873</v>
      </c>
      <c r="G21" s="35" t="str">
        <f>TEXT(DESPESAS[[#This Row],[Data]],"mmmm")</f>
        <v>fevereiro</v>
      </c>
      <c r="H21" s="36">
        <f>YEAR(DESPESAS[[#This Row],[Data]])</f>
        <v>2020</v>
      </c>
    </row>
    <row r="22" spans="1:8" x14ac:dyDescent="0.25">
      <c r="A22" s="30" t="s">
        <v>675</v>
      </c>
      <c r="B22" s="30"/>
      <c r="C22" s="30" t="s">
        <v>675</v>
      </c>
      <c r="D22" s="32">
        <v>31116.080000000002</v>
      </c>
      <c r="E22" s="33" t="s">
        <v>663</v>
      </c>
      <c r="F22" s="34">
        <v>46065</v>
      </c>
      <c r="G22" s="35" t="str">
        <f>TEXT(DESPESAS[[#This Row],[Data]],"mmmm")</f>
        <v>fevereiro</v>
      </c>
      <c r="H22" s="36">
        <f>YEAR(DESPESAS[[#This Row],[Data]])</f>
        <v>2026</v>
      </c>
    </row>
    <row r="23" spans="1:8" x14ac:dyDescent="0.25">
      <c r="A23" s="30" t="s">
        <v>673</v>
      </c>
      <c r="B23" s="30"/>
      <c r="C23" s="30" t="s">
        <v>672</v>
      </c>
      <c r="D23" s="32">
        <v>848.15</v>
      </c>
      <c r="E23" s="33" t="s">
        <v>663</v>
      </c>
      <c r="F23" s="34">
        <v>46065</v>
      </c>
      <c r="G23" s="35" t="str">
        <f>TEXT(DESPESAS[[#This Row],[Data]],"mmmm")</f>
        <v>fevereiro</v>
      </c>
      <c r="H23" s="36">
        <f>YEAR(DESPESAS[[#This Row],[Data]])</f>
        <v>2026</v>
      </c>
    </row>
    <row r="24" spans="1:8" x14ac:dyDescent="0.25">
      <c r="A24" s="30" t="s">
        <v>681</v>
      </c>
      <c r="B24" s="30"/>
      <c r="C24" s="30" t="s">
        <v>672</v>
      </c>
      <c r="D24" s="32">
        <v>15467.26</v>
      </c>
      <c r="E24" s="33" t="s">
        <v>663</v>
      </c>
      <c r="F24" s="34">
        <v>46065</v>
      </c>
      <c r="G24" s="35" t="str">
        <f>TEXT(DESPESAS[[#This Row],[Data]],"mmmm")</f>
        <v>fevereiro</v>
      </c>
      <c r="H24" s="36">
        <f>YEAR(DESPESAS[[#This Row],[Data]])</f>
        <v>2026</v>
      </c>
    </row>
    <row r="25" spans="1:8" x14ac:dyDescent="0.25">
      <c r="A25" s="30" t="s">
        <v>670</v>
      </c>
      <c r="B25" s="30"/>
      <c r="C25" s="30" t="s">
        <v>672</v>
      </c>
      <c r="D25" s="32">
        <v>136795.97</v>
      </c>
      <c r="E25" s="33" t="s">
        <v>663</v>
      </c>
      <c r="F25" s="34">
        <v>46065</v>
      </c>
      <c r="G25" s="35" t="str">
        <f>TEXT(DESPESAS[[#This Row],[Data]],"mmmm")</f>
        <v>fevereiro</v>
      </c>
      <c r="H25" s="36">
        <f>YEAR(DESPESAS[[#This Row],[Data]])</f>
        <v>2026</v>
      </c>
    </row>
    <row r="26" spans="1:8" x14ac:dyDescent="0.25">
      <c r="A26" s="30" t="s">
        <v>682</v>
      </c>
      <c r="B26" s="30"/>
      <c r="C26" s="30" t="s">
        <v>672</v>
      </c>
      <c r="D26" s="32">
        <v>1173.8800000000001</v>
      </c>
      <c r="E26" s="33" t="s">
        <v>663</v>
      </c>
      <c r="F26" s="34">
        <v>46065</v>
      </c>
      <c r="G26" s="35" t="str">
        <f>TEXT(DESPESAS[[#This Row],[Data]],"mmmm")</f>
        <v>fevereiro</v>
      </c>
      <c r="H26" s="36">
        <f>YEAR(DESPESAS[[#This Row],[Data]])</f>
        <v>2026</v>
      </c>
    </row>
    <row r="27" spans="1:8" x14ac:dyDescent="0.25">
      <c r="A27" s="30" t="s">
        <v>684</v>
      </c>
      <c r="B27" s="30"/>
      <c r="C27" s="30" t="s">
        <v>672</v>
      </c>
      <c r="D27" s="32">
        <v>104710.56</v>
      </c>
      <c r="E27" s="33" t="s">
        <v>686</v>
      </c>
      <c r="F27" s="34">
        <v>46079</v>
      </c>
      <c r="G27" s="35" t="str">
        <f>TEXT(DESPESAS[[#This Row],[Data]],"mmmm")</f>
        <v>fevereiro</v>
      </c>
      <c r="H27" s="36">
        <f>YEAR(DESPESAS[[#This Row],[Data]])</f>
        <v>2026</v>
      </c>
    </row>
    <row r="28" spans="1:8" x14ac:dyDescent="0.25">
      <c r="A28" s="30" t="s">
        <v>675</v>
      </c>
      <c r="B28" s="30"/>
      <c r="C28" s="30" t="s">
        <v>675</v>
      </c>
      <c r="D28" s="32">
        <v>32745.8</v>
      </c>
      <c r="E28" s="33" t="s">
        <v>663</v>
      </c>
      <c r="F28" s="34">
        <v>46079</v>
      </c>
      <c r="G28" s="35" t="str">
        <f>TEXT(DESPESAS[[#This Row],[Data]],"mmmm")</f>
        <v>fevereiro</v>
      </c>
      <c r="H28" s="36">
        <f>YEAR(DESPESAS[[#This Row],[Data]])</f>
        <v>2026</v>
      </c>
    </row>
    <row r="29" spans="1:8" x14ac:dyDescent="0.25">
      <c r="A29" s="30" t="s">
        <v>673</v>
      </c>
      <c r="B29" s="30"/>
      <c r="C29" s="30" t="s">
        <v>672</v>
      </c>
      <c r="D29" s="32">
        <v>1631.05</v>
      </c>
      <c r="E29" s="33" t="s">
        <v>663</v>
      </c>
      <c r="F29" s="34">
        <v>46079</v>
      </c>
      <c r="G29" s="35" t="str">
        <f>TEXT(DESPESAS[[#This Row],[Data]],"mmmm")</f>
        <v>fevereiro</v>
      </c>
      <c r="H29" s="36">
        <f>YEAR(DESPESAS[[#This Row],[Data]])</f>
        <v>2026</v>
      </c>
    </row>
    <row r="30" spans="1:8" x14ac:dyDescent="0.25">
      <c r="A30" s="30" t="s">
        <v>681</v>
      </c>
      <c r="B30" s="30"/>
      <c r="C30" s="30" t="s">
        <v>672</v>
      </c>
      <c r="D30" s="32">
        <v>11604.31</v>
      </c>
      <c r="E30" s="33" t="s">
        <v>663</v>
      </c>
      <c r="F30" s="34">
        <v>46079</v>
      </c>
      <c r="G30" s="35" t="str">
        <f>TEXT(DESPESAS[[#This Row],[Data]],"mmmm")</f>
        <v>fevereiro</v>
      </c>
      <c r="H30" s="36">
        <f>YEAR(DESPESAS[[#This Row],[Data]])</f>
        <v>2026</v>
      </c>
    </row>
    <row r="31" spans="1:8" x14ac:dyDescent="0.25">
      <c r="A31" s="30" t="s">
        <v>670</v>
      </c>
      <c r="B31" s="30"/>
      <c r="C31" s="30" t="s">
        <v>672</v>
      </c>
      <c r="D31" s="32">
        <v>165103.79999999999</v>
      </c>
      <c r="E31" s="33" t="s">
        <v>663</v>
      </c>
      <c r="F31" s="34">
        <v>46079</v>
      </c>
      <c r="G31" s="35" t="str">
        <f>TEXT(DESPESAS[[#This Row],[Data]],"mmmm")</f>
        <v>fevereiro</v>
      </c>
      <c r="H31" s="36">
        <f>YEAR(DESPESAS[[#This Row],[Data]])</f>
        <v>2026</v>
      </c>
    </row>
    <row r="32" spans="1:8" x14ac:dyDescent="0.25">
      <c r="A32" s="30" t="s">
        <v>679</v>
      </c>
      <c r="B32" s="30"/>
      <c r="C32" s="30" t="s">
        <v>672</v>
      </c>
      <c r="D32" s="32">
        <v>40009.4</v>
      </c>
      <c r="E32" s="33" t="s">
        <v>663</v>
      </c>
      <c r="F32" s="34">
        <v>46079</v>
      </c>
      <c r="G32" s="35" t="str">
        <f>TEXT(DESPESAS[[#This Row],[Data]],"mmmm")</f>
        <v>fevereiro</v>
      </c>
      <c r="H32" s="36">
        <f>YEAR(DESPESAS[[#This Row],[Data]])</f>
        <v>2026</v>
      </c>
    </row>
    <row r="33" spans="1:8" x14ac:dyDescent="0.25">
      <c r="A33" s="30" t="s">
        <v>682</v>
      </c>
      <c r="B33" s="30"/>
      <c r="C33" s="30" t="s">
        <v>672</v>
      </c>
      <c r="D33" s="32">
        <v>3760.03</v>
      </c>
      <c r="E33" s="33" t="s">
        <v>663</v>
      </c>
      <c r="F33" s="34">
        <v>46079</v>
      </c>
      <c r="G33" s="35" t="str">
        <f>TEXT(DESPESAS[[#This Row],[Data]],"mmmm")</f>
        <v>fevereiro</v>
      </c>
      <c r="H33" s="36">
        <f>YEAR(DESPESAS[[#This Row],[Data]])</f>
        <v>2026</v>
      </c>
    </row>
    <row r="34" spans="1:8" x14ac:dyDescent="0.25">
      <c r="A34" s="30" t="s">
        <v>677</v>
      </c>
      <c r="B34" s="30"/>
      <c r="C34" s="30" t="s">
        <v>672</v>
      </c>
      <c r="D34" s="32">
        <v>23000</v>
      </c>
      <c r="E34" s="33" t="s">
        <v>663</v>
      </c>
      <c r="F34" s="34">
        <v>46079</v>
      </c>
      <c r="G34" s="35" t="str">
        <f>TEXT(DESPESAS[[#This Row],[Data]],"mmmm")</f>
        <v>fevereiro</v>
      </c>
      <c r="H34" s="36">
        <f>YEAR(DESPESAS[[#This Row],[Data]])</f>
        <v>2026</v>
      </c>
    </row>
    <row r="35" spans="1:8" x14ac:dyDescent="0.25">
      <c r="A35" s="30" t="s">
        <v>692</v>
      </c>
      <c r="B35" s="30"/>
      <c r="C35" s="30" t="s">
        <v>672</v>
      </c>
      <c r="D35" s="32">
        <v>41384.46</v>
      </c>
      <c r="E35" s="33" t="s">
        <v>663</v>
      </c>
      <c r="F35" s="34">
        <v>46081</v>
      </c>
      <c r="G35" s="35" t="str">
        <f>TEXT(DESPESAS[[#This Row],[Data]],"mmmm")</f>
        <v>fevereiro</v>
      </c>
      <c r="H35" s="36">
        <f>YEAR(DESPESAS[[#This Row],[Data]])</f>
        <v>2026</v>
      </c>
    </row>
    <row r="36" spans="1:8" x14ac:dyDescent="0.25">
      <c r="A36" s="30" t="s">
        <v>684</v>
      </c>
      <c r="B36" s="30"/>
      <c r="C36" s="30" t="s">
        <v>672</v>
      </c>
      <c r="D36" s="32">
        <v>22930.67</v>
      </c>
      <c r="E36" s="33" t="s">
        <v>686</v>
      </c>
      <c r="F36" s="34">
        <v>46081</v>
      </c>
      <c r="G36" s="35" t="str">
        <f>TEXT(DESPESAS[[#This Row],[Data]],"mmmm")</f>
        <v>fevereiro</v>
      </c>
      <c r="H36" s="36">
        <f>YEAR(DESPESAS[[#This Row],[Data]])</f>
        <v>2026</v>
      </c>
    </row>
    <row r="37" spans="1:8" x14ac:dyDescent="0.25">
      <c r="A37" s="30" t="s">
        <v>675</v>
      </c>
      <c r="B37" s="30"/>
      <c r="C37" s="30" t="s">
        <v>675</v>
      </c>
      <c r="D37" s="32">
        <v>7835.4</v>
      </c>
      <c r="E37" s="33" t="s">
        <v>663</v>
      </c>
      <c r="F37" s="34">
        <v>46081</v>
      </c>
      <c r="G37" s="35" t="str">
        <f>TEXT(DESPESAS[[#This Row],[Data]],"mmmm")</f>
        <v>fevereiro</v>
      </c>
      <c r="H37" s="36">
        <f>YEAR(DESPESAS[[#This Row],[Data]])</f>
        <v>2026</v>
      </c>
    </row>
    <row r="38" spans="1:8" x14ac:dyDescent="0.25">
      <c r="A38" s="30" t="s">
        <v>673</v>
      </c>
      <c r="B38" s="30"/>
      <c r="C38" s="30" t="s">
        <v>672</v>
      </c>
      <c r="D38" s="32">
        <v>269.98</v>
      </c>
      <c r="E38" s="33" t="s">
        <v>663</v>
      </c>
      <c r="F38" s="34">
        <v>46081</v>
      </c>
      <c r="G38" s="35" t="str">
        <f>TEXT(DESPESAS[[#This Row],[Data]],"mmmm")</f>
        <v>fevereiro</v>
      </c>
      <c r="H38" s="36">
        <f>YEAR(DESPESAS[[#This Row],[Data]])</f>
        <v>2026</v>
      </c>
    </row>
    <row r="39" spans="1:8" x14ac:dyDescent="0.25">
      <c r="A39" s="30" t="s">
        <v>684</v>
      </c>
      <c r="B39" s="30"/>
      <c r="C39" s="30" t="s">
        <v>672</v>
      </c>
      <c r="D39" s="38">
        <v>127556.92</v>
      </c>
      <c r="E39" s="33" t="s">
        <v>686</v>
      </c>
      <c r="F39" s="34">
        <v>46099</v>
      </c>
      <c r="G39" s="35" t="str">
        <f>TEXT(DESPESAS[[#This Row],[Data]],"mmmm")</f>
        <v>março</v>
      </c>
      <c r="H39" s="36">
        <f>YEAR(DESPESAS[[#This Row],[Data]])</f>
        <v>2026</v>
      </c>
    </row>
    <row r="40" spans="1:8" x14ac:dyDescent="0.25">
      <c r="A40" s="30" t="s">
        <v>675</v>
      </c>
      <c r="B40" s="30"/>
      <c r="C40" s="30" t="s">
        <v>675</v>
      </c>
      <c r="D40" s="38">
        <v>78956.639999999999</v>
      </c>
      <c r="E40" s="33" t="s">
        <v>663</v>
      </c>
      <c r="F40" s="34">
        <v>46099</v>
      </c>
      <c r="G40" s="35" t="str">
        <f>TEXT(DESPESAS[[#This Row],[Data]],"mmmm")</f>
        <v>março</v>
      </c>
      <c r="H40" s="36">
        <f>YEAR(DESPESAS[[#This Row],[Data]])</f>
        <v>2026</v>
      </c>
    </row>
    <row r="41" spans="1:8" x14ac:dyDescent="0.25">
      <c r="A41" s="30" t="s">
        <v>673</v>
      </c>
      <c r="B41" s="30"/>
      <c r="C41" s="30" t="s">
        <v>672</v>
      </c>
      <c r="D41" s="38">
        <v>19608.080000000002</v>
      </c>
      <c r="E41" s="33" t="s">
        <v>663</v>
      </c>
      <c r="F41" s="34">
        <v>46099</v>
      </c>
      <c r="G41" s="35" t="str">
        <f>TEXT(DESPESAS[[#This Row],[Data]],"mmmm")</f>
        <v>março</v>
      </c>
      <c r="H41" s="36">
        <f>YEAR(DESPESAS[[#This Row],[Data]])</f>
        <v>2026</v>
      </c>
    </row>
    <row r="42" spans="1:8" x14ac:dyDescent="0.25">
      <c r="A42" s="30" t="s">
        <v>681</v>
      </c>
      <c r="B42" s="30"/>
      <c r="C42" s="30" t="s">
        <v>672</v>
      </c>
      <c r="D42" s="38">
        <v>3716.63</v>
      </c>
      <c r="E42" s="33" t="s">
        <v>663</v>
      </c>
      <c r="F42" s="34">
        <v>46099</v>
      </c>
      <c r="G42" s="35" t="str">
        <f>TEXT(DESPESAS[[#This Row],[Data]],"mmmm")</f>
        <v>março</v>
      </c>
      <c r="H42" s="36">
        <f>YEAR(DESPESAS[[#This Row],[Data]])</f>
        <v>2026</v>
      </c>
    </row>
    <row r="43" spans="1:8" x14ac:dyDescent="0.25">
      <c r="A43" s="30" t="s">
        <v>679</v>
      </c>
      <c r="B43" s="30"/>
      <c r="C43" s="30" t="s">
        <v>672</v>
      </c>
      <c r="D43" s="38">
        <v>114720.37</v>
      </c>
      <c r="E43" s="33" t="s">
        <v>663</v>
      </c>
      <c r="F43" s="34">
        <v>46099</v>
      </c>
      <c r="G43" s="35" t="str">
        <f>TEXT(DESPESAS[[#This Row],[Data]],"mmmm")</f>
        <v>março</v>
      </c>
      <c r="H43" s="36">
        <f>YEAR(DESPESAS[[#This Row],[Data]])</f>
        <v>2026</v>
      </c>
    </row>
    <row r="44" spans="1:8" x14ac:dyDescent="0.25">
      <c r="A44" s="30" t="s">
        <v>692</v>
      </c>
      <c r="B44" s="30"/>
      <c r="C44" s="30" t="s">
        <v>672</v>
      </c>
      <c r="D44" s="38">
        <v>793.42</v>
      </c>
      <c r="E44" s="33" t="s">
        <v>663</v>
      </c>
      <c r="F44" s="34">
        <v>46099</v>
      </c>
      <c r="G44" s="35" t="str">
        <f>TEXT(DESPESAS[[#This Row],[Data]],"mmmm")</f>
        <v>março</v>
      </c>
      <c r="H44" s="36">
        <f>YEAR(DESPESAS[[#This Row],[Data]])</f>
        <v>2026</v>
      </c>
    </row>
    <row r="45" spans="1:8" x14ac:dyDescent="0.25">
      <c r="A45" s="30" t="s">
        <v>729</v>
      </c>
      <c r="B45" s="30"/>
      <c r="C45" s="30" t="s">
        <v>672</v>
      </c>
      <c r="D45" s="38">
        <v>3885.07</v>
      </c>
      <c r="E45" s="33" t="s">
        <v>663</v>
      </c>
      <c r="F45" s="34">
        <v>46099</v>
      </c>
      <c r="G45" s="35" t="str">
        <f>TEXT(DESPESAS[[#This Row],[Data]],"mmmm")</f>
        <v>março</v>
      </c>
      <c r="H45" s="36">
        <f>YEAR(DESPESAS[[#This Row],[Data]])</f>
        <v>2026</v>
      </c>
    </row>
    <row r="46" spans="1:8" x14ac:dyDescent="0.25">
      <c r="A46" s="30" t="s">
        <v>670</v>
      </c>
      <c r="B46" s="30"/>
      <c r="C46" s="30" t="s">
        <v>672</v>
      </c>
      <c r="D46" s="38">
        <v>252267.68</v>
      </c>
      <c r="E46" s="33" t="s">
        <v>663</v>
      </c>
      <c r="F46" s="34">
        <v>46099</v>
      </c>
      <c r="G46" s="35" t="str">
        <f>TEXT(DESPESAS[[#This Row],[Data]],"mmmm")</f>
        <v>março</v>
      </c>
      <c r="H46" s="36">
        <f>YEAR(DESPESAS[[#This Row],[Data]])</f>
        <v>2026</v>
      </c>
    </row>
    <row r="47" spans="1:8" x14ac:dyDescent="0.25">
      <c r="A47" s="30" t="s">
        <v>677</v>
      </c>
      <c r="B47" s="30"/>
      <c r="C47" s="30" t="s">
        <v>672</v>
      </c>
      <c r="D47" s="38">
        <v>123796.97</v>
      </c>
      <c r="E47" s="33" t="s">
        <v>663</v>
      </c>
      <c r="F47" s="34">
        <v>46099</v>
      </c>
      <c r="G47" s="35" t="str">
        <f>TEXT(DESPESAS[[#This Row],[Data]],"mmmm")</f>
        <v>março</v>
      </c>
      <c r="H47" s="36">
        <f>YEAR(DESPESAS[[#This Row],[Data]])</f>
        <v>2026</v>
      </c>
    </row>
    <row r="48" spans="1:8" x14ac:dyDescent="0.25">
      <c r="A48" s="30" t="s">
        <v>684</v>
      </c>
      <c r="B48" s="30"/>
      <c r="C48" s="30" t="s">
        <v>672</v>
      </c>
      <c r="D48" s="38">
        <v>62903.11</v>
      </c>
      <c r="E48" s="33" t="s">
        <v>686</v>
      </c>
      <c r="F48" s="34">
        <v>46107</v>
      </c>
      <c r="G48" s="35" t="str">
        <f>TEXT(DESPESAS[[#This Row],[Data]],"mmmm")</f>
        <v>março</v>
      </c>
      <c r="H48" s="36">
        <f>YEAR(DESPESAS[[#This Row],[Data]])</f>
        <v>2026</v>
      </c>
    </row>
    <row r="49" spans="1:8" x14ac:dyDescent="0.25">
      <c r="A49" s="30" t="s">
        <v>675</v>
      </c>
      <c r="B49" s="30"/>
      <c r="C49" s="30" t="s">
        <v>675</v>
      </c>
      <c r="D49" s="38">
        <v>25199.34</v>
      </c>
      <c r="E49" s="33" t="s">
        <v>663</v>
      </c>
      <c r="F49" s="34">
        <v>46107</v>
      </c>
      <c r="G49" s="35" t="str">
        <f>TEXT(DESPESAS[[#This Row],[Data]],"mmmm")</f>
        <v>março</v>
      </c>
      <c r="H49" s="36">
        <f>YEAR(DESPESAS[[#This Row],[Data]])</f>
        <v>2026</v>
      </c>
    </row>
    <row r="50" spans="1:8" x14ac:dyDescent="0.25">
      <c r="A50" s="30" t="s">
        <v>673</v>
      </c>
      <c r="B50" s="30"/>
      <c r="C50" s="30" t="s">
        <v>672</v>
      </c>
      <c r="D50" s="38">
        <v>1032.46</v>
      </c>
      <c r="E50" s="33" t="s">
        <v>663</v>
      </c>
      <c r="F50" s="34">
        <v>46107</v>
      </c>
      <c r="G50" s="35" t="str">
        <f>TEXT(DESPESAS[[#This Row],[Data]],"mmmm")</f>
        <v>março</v>
      </c>
      <c r="H50" s="36">
        <f>YEAR(DESPESAS[[#This Row],[Data]])</f>
        <v>2026</v>
      </c>
    </row>
    <row r="51" spans="1:8" x14ac:dyDescent="0.25">
      <c r="A51" s="30" t="s">
        <v>681</v>
      </c>
      <c r="B51" s="30"/>
      <c r="C51" s="30" t="s">
        <v>672</v>
      </c>
      <c r="D51" s="38">
        <v>10450.67</v>
      </c>
      <c r="E51" s="33" t="s">
        <v>663</v>
      </c>
      <c r="F51" s="34">
        <v>46107</v>
      </c>
      <c r="G51" s="35" t="str">
        <f>TEXT(DESPESAS[[#This Row],[Data]],"mmmm")</f>
        <v>março</v>
      </c>
      <c r="H51" s="36">
        <f>YEAR(DESPESAS[[#This Row],[Data]])</f>
        <v>2026</v>
      </c>
    </row>
    <row r="52" spans="1:8" x14ac:dyDescent="0.25">
      <c r="A52" s="30" t="s">
        <v>692</v>
      </c>
      <c r="B52" s="30"/>
      <c r="C52" s="30" t="s">
        <v>672</v>
      </c>
      <c r="D52" s="38">
        <v>180.19</v>
      </c>
      <c r="E52" s="33" t="s">
        <v>663</v>
      </c>
      <c r="F52" s="34">
        <v>46107</v>
      </c>
      <c r="G52" s="35" t="str">
        <f>TEXT(DESPESAS[[#This Row],[Data]],"mmmm")</f>
        <v>março</v>
      </c>
      <c r="H52" s="36">
        <f>YEAR(DESPESAS[[#This Row],[Data]])</f>
        <v>2026</v>
      </c>
    </row>
    <row r="53" spans="1:8" x14ac:dyDescent="0.25">
      <c r="A53" s="30" t="s">
        <v>729</v>
      </c>
      <c r="B53" s="30"/>
      <c r="C53" s="30" t="s">
        <v>672</v>
      </c>
      <c r="D53" s="38">
        <v>234.77</v>
      </c>
      <c r="E53" s="33" t="s">
        <v>663</v>
      </c>
      <c r="F53" s="34">
        <v>46107</v>
      </c>
      <c r="G53" s="35" t="str">
        <f>TEXT(DESPESAS[[#This Row],[Data]],"mmmm")</f>
        <v>março</v>
      </c>
      <c r="H53" s="36">
        <f>YEAR(DESPESAS[[#This Row],[Data]])</f>
        <v>2026</v>
      </c>
    </row>
    <row r="54" spans="1:8" x14ac:dyDescent="0.25">
      <c r="A54" s="30" t="s">
        <v>670</v>
      </c>
      <c r="B54" s="30"/>
      <c r="C54" s="30" t="s">
        <v>672</v>
      </c>
      <c r="D54" s="38">
        <v>99062.36</v>
      </c>
      <c r="E54" s="33" t="s">
        <v>663</v>
      </c>
      <c r="F54" s="34">
        <v>46107</v>
      </c>
      <c r="G54" s="35" t="str">
        <f>TEXT(DESPESAS[[#This Row],[Data]],"mmmm")</f>
        <v>março</v>
      </c>
      <c r="H54" s="36">
        <f>YEAR(DESPESAS[[#This Row],[Data]])</f>
        <v>2026</v>
      </c>
    </row>
    <row r="55" spans="1:8" x14ac:dyDescent="0.25">
      <c r="A55" s="30" t="s">
        <v>677</v>
      </c>
      <c r="B55" s="30"/>
      <c r="C55" s="30" t="s">
        <v>672</v>
      </c>
      <c r="D55" s="38">
        <v>3119.4</v>
      </c>
      <c r="E55" s="33" t="s">
        <v>663</v>
      </c>
      <c r="F55" s="34">
        <v>46107</v>
      </c>
      <c r="G55" s="35" t="str">
        <f>TEXT(DESPESAS[[#This Row],[Data]],"mmmm")</f>
        <v>março</v>
      </c>
      <c r="H55" s="36">
        <f>YEAR(DESPESAS[[#This Row],[Data]])</f>
        <v>2026</v>
      </c>
    </row>
  </sheetData>
  <dataValidations count="3">
    <dataValidation type="list" allowBlank="1" showInputMessage="1" showErrorMessage="1" sqref="C2:C55" xr:uid="{AAE1814D-19CF-4260-B33D-D35F07C2DBD0}">
      <formula1>"Despesa Fixa,Despesa Variável"</formula1>
    </dataValidation>
    <dataValidation type="list" allowBlank="1" showInputMessage="1" showErrorMessage="1" sqref="E2:E55" xr:uid="{D4624C5B-99AE-4823-B42F-78F02794CC0C}">
      <formula1>INDIRECT("FONTE_DESTINO[Fonte/Destino]")</formula1>
    </dataValidation>
    <dataValidation type="list" allowBlank="1" showInputMessage="1" showErrorMessage="1" sqref="B2:B55" xr:uid="{88B655B0-4E15-4CD5-A3C0-37665F0756D3}">
      <formula1>INDIRECT($A2 &amp; "[" &amp; $A2 &amp; "]")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785FD-FFAC-48B7-8466-DA3558943F98}">
  <dimension ref="A1:N15"/>
  <sheetViews>
    <sheetView tabSelected="1" workbookViewId="0">
      <selection activeCell="N18" sqref="N18"/>
    </sheetView>
  </sheetViews>
  <sheetFormatPr defaultRowHeight="15" x14ac:dyDescent="0.25"/>
  <cols>
    <col min="1" max="1" width="17.42578125" customWidth="1"/>
    <col min="2" max="2" width="15.5703125" bestFit="1" customWidth="1"/>
    <col min="3" max="3" width="18.42578125" customWidth="1"/>
    <col min="4" max="4" width="15.7109375" customWidth="1"/>
    <col min="5" max="5" width="10.42578125" customWidth="1"/>
    <col min="11" max="11" width="14.28515625" bestFit="1" customWidth="1"/>
    <col min="14" max="14" width="22.28515625" customWidth="1"/>
  </cols>
  <sheetData>
    <row r="1" spans="1:14" x14ac:dyDescent="0.25">
      <c r="A1" t="s">
        <v>697</v>
      </c>
      <c r="B1" t="s">
        <v>698</v>
      </c>
      <c r="C1" t="s">
        <v>656</v>
      </c>
      <c r="D1" t="s">
        <v>699</v>
      </c>
      <c r="E1" t="s">
        <v>545</v>
      </c>
    </row>
    <row r="2" spans="1:14" x14ac:dyDescent="0.25">
      <c r="A2" s="37">
        <v>932688</v>
      </c>
      <c r="B2" s="37">
        <v>1154444</v>
      </c>
      <c r="C2" s="37">
        <f>B2-A2</f>
        <v>221756</v>
      </c>
      <c r="D2" s="41">
        <f>(A2/B2)</f>
        <v>0.80791099438344349</v>
      </c>
      <c r="E2" t="s">
        <v>700</v>
      </c>
    </row>
    <row r="3" spans="1:14" x14ac:dyDescent="0.25">
      <c r="A3" s="37">
        <v>797443</v>
      </c>
      <c r="B3" s="37">
        <v>935165</v>
      </c>
      <c r="C3" s="37">
        <f>B3-A3</f>
        <v>137722</v>
      </c>
      <c r="D3" s="41">
        <f>(A3/B3)</f>
        <v>0.85272973218629866</v>
      </c>
      <c r="E3" t="s">
        <v>701</v>
      </c>
    </row>
    <row r="4" spans="1:14" x14ac:dyDescent="0.25">
      <c r="A4" s="37">
        <v>927484.08</v>
      </c>
      <c r="B4" s="37">
        <v>993697.24</v>
      </c>
      <c r="C4" s="37">
        <f>Tabela8[[#This Row],[Total Receita]]-Tabela8[[#This Row],[Total Despesa]]</f>
        <v>66213.160000000033</v>
      </c>
      <c r="D4" s="41">
        <f>(A4/B4)</f>
        <v>0.93336686735690233</v>
      </c>
      <c r="E4" t="s">
        <v>792</v>
      </c>
    </row>
    <row r="5" spans="1:14" x14ac:dyDescent="0.25">
      <c r="A5" s="37"/>
      <c r="B5" s="37"/>
      <c r="C5" s="37"/>
      <c r="K5" s="32">
        <v>46360.61</v>
      </c>
    </row>
    <row r="6" spans="1:14" x14ac:dyDescent="0.25">
      <c r="A6" s="37"/>
      <c r="B6" s="37"/>
      <c r="C6" s="37"/>
      <c r="K6" s="32">
        <v>607196.49</v>
      </c>
    </row>
    <row r="7" spans="1:14" x14ac:dyDescent="0.25">
      <c r="A7" s="37"/>
      <c r="B7" s="37"/>
      <c r="C7" s="37"/>
    </row>
    <row r="8" spans="1:14" x14ac:dyDescent="0.25">
      <c r="A8" s="37"/>
      <c r="B8" s="37"/>
      <c r="C8" s="37"/>
    </row>
    <row r="9" spans="1:14" x14ac:dyDescent="0.25">
      <c r="A9" s="37"/>
      <c r="B9" s="37"/>
      <c r="C9" s="37"/>
    </row>
    <row r="10" spans="1:14" x14ac:dyDescent="0.25">
      <c r="A10" s="37"/>
      <c r="B10" s="37"/>
      <c r="C10" s="37"/>
    </row>
    <row r="11" spans="1:14" x14ac:dyDescent="0.25">
      <c r="A11" s="37"/>
      <c r="B11" s="37"/>
      <c r="C11" s="37"/>
    </row>
    <row r="13" spans="1:14" x14ac:dyDescent="0.25">
      <c r="N13" t="s">
        <v>890</v>
      </c>
    </row>
    <row r="14" spans="1:14" x14ac:dyDescent="0.25">
      <c r="N14">
        <v>180</v>
      </c>
    </row>
    <row r="15" spans="1:14" x14ac:dyDescent="0.25">
      <c r="N15" t="s">
        <v>891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7CBA-EE0A-405B-8DCB-80C032F6CEEC}">
  <dimension ref="A1:I12"/>
  <sheetViews>
    <sheetView workbookViewId="0">
      <selection activeCell="D13" sqref="D13"/>
    </sheetView>
  </sheetViews>
  <sheetFormatPr defaultRowHeight="15" x14ac:dyDescent="0.25"/>
  <cols>
    <col min="1" max="1" width="22" customWidth="1"/>
    <col min="2" max="2" width="27.140625" customWidth="1"/>
    <col min="3" max="3" width="18" customWidth="1"/>
    <col min="4" max="4" width="16.5703125" customWidth="1"/>
    <col min="5" max="5" width="17.7109375" customWidth="1"/>
    <col min="6" max="6" width="12.42578125" customWidth="1"/>
    <col min="7" max="7" width="16.140625" customWidth="1"/>
    <col min="8" max="8" width="12.85546875" customWidth="1"/>
    <col min="9" max="9" width="11.140625" customWidth="1"/>
  </cols>
  <sheetData>
    <row r="1" spans="1:9" ht="15.75" x14ac:dyDescent="0.25">
      <c r="A1" s="31" t="s">
        <v>694</v>
      </c>
      <c r="B1" s="31" t="s">
        <v>658</v>
      </c>
      <c r="C1" s="31" t="s">
        <v>669</v>
      </c>
      <c r="D1" s="31" t="s">
        <v>545</v>
      </c>
      <c r="E1" s="31" t="s">
        <v>660</v>
      </c>
      <c r="F1" s="31" t="s">
        <v>661</v>
      </c>
    </row>
    <row r="2" spans="1:9" x14ac:dyDescent="0.25">
      <c r="A2" s="30" t="s">
        <v>679</v>
      </c>
      <c r="B2" s="32">
        <v>70740.92</v>
      </c>
      <c r="C2" s="32" t="s">
        <v>663</v>
      </c>
      <c r="D2" s="34">
        <v>46023</v>
      </c>
      <c r="E2" s="35" t="str">
        <f>TEXT(INVEST8[[#This Row],[Data]],"mmmm")</f>
        <v>janeiro</v>
      </c>
      <c r="F2" s="36">
        <f>YEAR(INVEST8[[#This Row],[Data]])</f>
        <v>2026</v>
      </c>
      <c r="G2" s="40"/>
      <c r="I2" s="40"/>
    </row>
    <row r="3" spans="1:9" x14ac:dyDescent="0.25">
      <c r="A3" s="30" t="s">
        <v>695</v>
      </c>
      <c r="B3" s="32">
        <v>4977.87</v>
      </c>
      <c r="C3" s="32" t="s">
        <v>663</v>
      </c>
      <c r="D3" s="34">
        <v>46023</v>
      </c>
      <c r="E3" s="35" t="str">
        <f>TEXT(INVEST8[[#This Row],[Data]],"mmmm")</f>
        <v>janeiro</v>
      </c>
      <c r="F3" s="36">
        <f>YEAR(INVEST8[[#This Row],[Data]])</f>
        <v>2026</v>
      </c>
    </row>
    <row r="4" spans="1:9" x14ac:dyDescent="0.25">
      <c r="A4" s="30" t="s">
        <v>696</v>
      </c>
      <c r="B4" s="32">
        <v>3986.46</v>
      </c>
      <c r="C4" s="32" t="s">
        <v>663</v>
      </c>
      <c r="D4" s="34">
        <v>46023</v>
      </c>
      <c r="E4" s="35" t="str">
        <f>TEXT(INVEST8[[#This Row],[Data]],"mmmm")</f>
        <v>janeiro</v>
      </c>
      <c r="F4" s="36">
        <f>YEAR(INVEST8[[#This Row],[Data]])</f>
        <v>2026</v>
      </c>
    </row>
    <row r="5" spans="1:9" x14ac:dyDescent="0.25">
      <c r="A5" s="30" t="s">
        <v>679</v>
      </c>
      <c r="B5" s="32">
        <v>2901.68</v>
      </c>
      <c r="C5" s="32" t="s">
        <v>663</v>
      </c>
      <c r="D5" s="34">
        <v>46059</v>
      </c>
      <c r="E5" s="35" t="str">
        <f>TEXT(INVEST8[[#This Row],[Data]],"mmmm")</f>
        <v>fevereiro</v>
      </c>
      <c r="F5" s="36">
        <f>YEAR(INVEST8[[#This Row],[Data]])</f>
        <v>2026</v>
      </c>
    </row>
    <row r="6" spans="1:9" x14ac:dyDescent="0.25">
      <c r="A6" s="30" t="s">
        <v>696</v>
      </c>
      <c r="B6" s="32">
        <v>3376.36</v>
      </c>
      <c r="C6" s="32" t="s">
        <v>663</v>
      </c>
      <c r="D6" s="34">
        <v>46065</v>
      </c>
      <c r="E6" s="35" t="str">
        <f>TEXT(INVEST8[[#This Row],[Data]],"mmmm")</f>
        <v>fevereiro</v>
      </c>
      <c r="F6" s="36">
        <f>YEAR(INVEST8[[#This Row],[Data]])</f>
        <v>2026</v>
      </c>
    </row>
    <row r="7" spans="1:9" x14ac:dyDescent="0.25">
      <c r="A7" s="30" t="s">
        <v>679</v>
      </c>
      <c r="B7" s="32">
        <v>2897.39</v>
      </c>
      <c r="C7" s="32" t="s">
        <v>663</v>
      </c>
      <c r="D7" s="34">
        <v>46065</v>
      </c>
      <c r="E7" s="35" t="str">
        <f>TEXT(INVEST8[[#This Row],[Data]],"mmmm")</f>
        <v>fevereiro</v>
      </c>
      <c r="F7" s="36">
        <f>YEAR(INVEST8[[#This Row],[Data]])</f>
        <v>2026</v>
      </c>
    </row>
    <row r="8" spans="1:9" x14ac:dyDescent="0.25">
      <c r="A8" s="30" t="s">
        <v>695</v>
      </c>
      <c r="B8" s="38">
        <v>5154.58</v>
      </c>
      <c r="C8" s="32" t="s">
        <v>663</v>
      </c>
      <c r="D8" s="34">
        <v>46079</v>
      </c>
      <c r="E8" s="35" t="str">
        <f>TEXT(INVEST8[[#This Row],[Data]],"mmmm")</f>
        <v>fevereiro</v>
      </c>
      <c r="F8" s="36">
        <f>YEAR(INVEST8[[#This Row],[Data]])</f>
        <v>2026</v>
      </c>
    </row>
    <row r="9" spans="1:9" x14ac:dyDescent="0.25">
      <c r="A9" s="30" t="s">
        <v>679</v>
      </c>
      <c r="B9" s="38">
        <v>34854.519999999997</v>
      </c>
      <c r="C9" s="32" t="s">
        <v>663</v>
      </c>
      <c r="D9" s="34">
        <v>46079</v>
      </c>
      <c r="E9" s="35" t="str">
        <f>TEXT(INVEST8[[#This Row],[Data]],"mmmm")</f>
        <v>fevereiro</v>
      </c>
      <c r="F9" s="36">
        <f>YEAR(INVEST8[[#This Row],[Data]])</f>
        <v>2026</v>
      </c>
    </row>
    <row r="10" spans="1:9" x14ac:dyDescent="0.25">
      <c r="A10" s="30" t="s">
        <v>696</v>
      </c>
      <c r="B10" s="38">
        <v>4148.34</v>
      </c>
      <c r="C10" s="32" t="s">
        <v>663</v>
      </c>
      <c r="D10" s="34">
        <v>46099</v>
      </c>
      <c r="E10" s="35" t="str">
        <f>TEXT(INVEST8[[#This Row],[Data]],"mmmm")</f>
        <v>março</v>
      </c>
      <c r="F10" s="36">
        <f>YEAR(INVEST8[[#This Row],[Data]])</f>
        <v>2026</v>
      </c>
    </row>
    <row r="11" spans="1:9" x14ac:dyDescent="0.25">
      <c r="A11" s="30" t="s">
        <v>695</v>
      </c>
      <c r="B11" s="32">
        <v>4977.87</v>
      </c>
      <c r="C11" s="32" t="s">
        <v>663</v>
      </c>
      <c r="D11" s="34">
        <v>46099</v>
      </c>
      <c r="E11" s="35" t="str">
        <f>TEXT(INVEST8[[#This Row],[Data]],"mmmm")</f>
        <v>março</v>
      </c>
      <c r="F11" s="36">
        <f>YEAR(INVEST8[[#This Row],[Data]])</f>
        <v>2026</v>
      </c>
    </row>
    <row r="12" spans="1:9" x14ac:dyDescent="0.25">
      <c r="A12" s="30" t="s">
        <v>679</v>
      </c>
      <c r="B12" s="38">
        <v>102802.97</v>
      </c>
      <c r="C12" s="32" t="s">
        <v>663</v>
      </c>
      <c r="D12" s="34">
        <v>46099</v>
      </c>
      <c r="E12" s="35" t="str">
        <f>TEXT(INVEST8[[#This Row],[Data]],"mmmm")</f>
        <v>março</v>
      </c>
      <c r="F12" s="36">
        <f>YEAR(INVEST8[[#This Row],[Data]])</f>
        <v>2026</v>
      </c>
    </row>
  </sheetData>
  <dataValidations count="2">
    <dataValidation type="list" allowBlank="1" showInputMessage="1" showErrorMessage="1" sqref="C2:C12" xr:uid="{88FA9A21-16AF-4E2A-B6F7-81A1D3B40AD6}">
      <formula1>INDIRECT("FONTE_DESTINO[Fonte/Destino]")</formula1>
    </dataValidation>
    <dataValidation type="list" allowBlank="1" showInputMessage="1" showErrorMessage="1" sqref="A2:A12" xr:uid="{0905F0F6-45EB-418E-9787-7BFE82CAAAB7}">
      <formula1>INDIRECT("INVESTIMENTOS[Investimentos]")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20CAF-FE63-453D-9DD0-1FFF7954D4EB}">
  <dimension ref="A1:H139"/>
  <sheetViews>
    <sheetView workbookViewId="0">
      <selection activeCell="J81" sqref="J81"/>
    </sheetView>
  </sheetViews>
  <sheetFormatPr defaultColWidth="9.140625" defaultRowHeight="15" x14ac:dyDescent="0.25"/>
  <cols>
    <col min="1" max="2" width="50" style="3" customWidth="1"/>
    <col min="3" max="3" width="9.140625" style="3"/>
    <col min="4" max="4" width="15" style="3" customWidth="1"/>
    <col min="5" max="5" width="11.85546875" style="3" customWidth="1"/>
    <col min="6" max="6" width="18.42578125" style="3" customWidth="1"/>
    <col min="7" max="7" width="40.28515625" style="3" customWidth="1"/>
    <col min="8" max="8" width="18.140625" style="3" customWidth="1"/>
    <col min="9" max="16384" width="9.140625" style="3"/>
  </cols>
  <sheetData>
    <row r="1" spans="1:8" ht="26.1" customHeight="1" thickBot="1" x14ac:dyDescent="0.3">
      <c r="A1" s="2" t="s">
        <v>546</v>
      </c>
      <c r="B1" s="2" t="s">
        <v>547</v>
      </c>
      <c r="C1" s="2" t="s">
        <v>548</v>
      </c>
      <c r="D1" s="2" t="s">
        <v>549</v>
      </c>
      <c r="E1" s="2" t="s">
        <v>1</v>
      </c>
      <c r="F1" s="2" t="s">
        <v>550</v>
      </c>
      <c r="G1" s="2" t="s">
        <v>551</v>
      </c>
      <c r="H1" s="2" t="s">
        <v>552</v>
      </c>
    </row>
    <row r="2" spans="1:8" ht="23.1" customHeight="1" x14ac:dyDescent="0.25">
      <c r="A2" s="4" t="s">
        <v>553</v>
      </c>
      <c r="B2" s="4" t="s">
        <v>554</v>
      </c>
      <c r="C2" s="4" t="s">
        <v>555</v>
      </c>
      <c r="D2" s="5">
        <v>2934.7</v>
      </c>
      <c r="E2" s="4" t="s">
        <v>327</v>
      </c>
      <c r="F2" s="4" t="s">
        <v>556</v>
      </c>
      <c r="G2" s="4" t="s">
        <v>158</v>
      </c>
      <c r="H2" s="6">
        <v>46041.451388888891</v>
      </c>
    </row>
    <row r="3" spans="1:8" ht="23.1" customHeight="1" x14ac:dyDescent="0.25">
      <c r="A3" s="4" t="s">
        <v>557</v>
      </c>
      <c r="B3" s="4" t="s">
        <v>165</v>
      </c>
      <c r="C3" s="4" t="s">
        <v>555</v>
      </c>
      <c r="D3" s="5">
        <v>130.16</v>
      </c>
      <c r="E3" s="4" t="s">
        <v>164</v>
      </c>
      <c r="F3" s="4" t="s">
        <v>558</v>
      </c>
      <c r="G3" s="4" t="s">
        <v>12</v>
      </c>
      <c r="H3" s="6">
        <v>46061.122916666667</v>
      </c>
    </row>
    <row r="4" spans="1:8" ht="23.1" customHeight="1" x14ac:dyDescent="0.25">
      <c r="A4" s="4" t="s">
        <v>559</v>
      </c>
      <c r="B4" s="4" t="s">
        <v>560</v>
      </c>
      <c r="C4" s="4" t="s">
        <v>555</v>
      </c>
      <c r="D4" s="5">
        <v>130.16</v>
      </c>
      <c r="E4" s="4" t="s">
        <v>302</v>
      </c>
      <c r="F4" s="4" t="s">
        <v>561</v>
      </c>
      <c r="G4" s="4" t="s">
        <v>55</v>
      </c>
      <c r="H4" s="6">
        <v>46056.803472222222</v>
      </c>
    </row>
    <row r="5" spans="1:8" ht="23.1" customHeight="1" x14ac:dyDescent="0.25">
      <c r="A5" s="4" t="s">
        <v>553</v>
      </c>
      <c r="B5" s="4" t="s">
        <v>29</v>
      </c>
      <c r="C5" s="4" t="s">
        <v>555</v>
      </c>
      <c r="D5" s="5">
        <v>130.16</v>
      </c>
      <c r="E5" s="4" t="s">
        <v>27</v>
      </c>
      <c r="F5" s="4" t="s">
        <v>562</v>
      </c>
      <c r="G5" s="4" t="s">
        <v>28</v>
      </c>
      <c r="H5" s="6">
        <v>46048.488194444442</v>
      </c>
    </row>
    <row r="6" spans="1:8" ht="23.1" customHeight="1" x14ac:dyDescent="0.25">
      <c r="A6" s="4" t="s">
        <v>553</v>
      </c>
      <c r="B6" s="4" t="s">
        <v>29</v>
      </c>
      <c r="C6" s="4" t="s">
        <v>555</v>
      </c>
      <c r="D6" s="5">
        <v>130.16</v>
      </c>
      <c r="E6" s="4" t="s">
        <v>27</v>
      </c>
      <c r="F6" s="4" t="s">
        <v>563</v>
      </c>
      <c r="G6" s="4" t="s">
        <v>28</v>
      </c>
      <c r="H6" s="6">
        <v>46050.335416666669</v>
      </c>
    </row>
    <row r="7" spans="1:8" ht="23.1" customHeight="1" x14ac:dyDescent="0.25">
      <c r="A7" s="4" t="s">
        <v>557</v>
      </c>
      <c r="B7" s="4" t="s">
        <v>141</v>
      </c>
      <c r="C7" s="4" t="s">
        <v>555</v>
      </c>
      <c r="D7" s="5">
        <v>130.16</v>
      </c>
      <c r="E7" s="4" t="s">
        <v>140</v>
      </c>
      <c r="F7" s="4" t="s">
        <v>564</v>
      </c>
      <c r="G7" s="4" t="s">
        <v>28</v>
      </c>
      <c r="H7" s="6">
        <v>46052.556250000001</v>
      </c>
    </row>
    <row r="8" spans="1:8" ht="23.1" customHeight="1" x14ac:dyDescent="0.25">
      <c r="A8" s="4" t="s">
        <v>565</v>
      </c>
      <c r="B8" s="4" t="s">
        <v>74</v>
      </c>
      <c r="C8" s="4" t="s">
        <v>555</v>
      </c>
      <c r="D8" s="5">
        <v>293.47000000000003</v>
      </c>
      <c r="E8" s="4" t="s">
        <v>72</v>
      </c>
      <c r="F8" s="4" t="s">
        <v>566</v>
      </c>
      <c r="G8" s="4" t="s">
        <v>567</v>
      </c>
      <c r="H8" s="6">
        <v>46062.27847222222</v>
      </c>
    </row>
    <row r="9" spans="1:8" ht="23.1" customHeight="1" x14ac:dyDescent="0.25">
      <c r="A9" s="4" t="s">
        <v>568</v>
      </c>
      <c r="B9" s="4" t="s">
        <v>50</v>
      </c>
      <c r="C9" s="4" t="s">
        <v>555</v>
      </c>
      <c r="D9" s="5">
        <v>195.23</v>
      </c>
      <c r="E9" s="4" t="s">
        <v>49</v>
      </c>
      <c r="F9" s="4" t="s">
        <v>569</v>
      </c>
      <c r="G9" s="4" t="s">
        <v>55</v>
      </c>
      <c r="H9" s="6">
        <v>46039.195138888892</v>
      </c>
    </row>
    <row r="10" spans="1:8" ht="23.1" customHeight="1" x14ac:dyDescent="0.25">
      <c r="A10" s="4" t="s">
        <v>553</v>
      </c>
      <c r="B10" s="4" t="s">
        <v>570</v>
      </c>
      <c r="C10" s="4" t="s">
        <v>555</v>
      </c>
      <c r="D10" s="5">
        <v>293.47000000000003</v>
      </c>
      <c r="E10" s="4" t="s">
        <v>436</v>
      </c>
      <c r="F10" s="4" t="s">
        <v>571</v>
      </c>
      <c r="G10" s="4" t="s">
        <v>116</v>
      </c>
      <c r="H10" s="6">
        <v>46038.729861111111</v>
      </c>
    </row>
    <row r="11" spans="1:8" ht="23.1" customHeight="1" x14ac:dyDescent="0.25">
      <c r="A11" s="4" t="s">
        <v>553</v>
      </c>
      <c r="B11" s="4" t="s">
        <v>572</v>
      </c>
      <c r="C11" s="4" t="s">
        <v>555</v>
      </c>
      <c r="D11" s="5">
        <v>130.16</v>
      </c>
      <c r="E11" s="4" t="s">
        <v>473</v>
      </c>
      <c r="F11" s="4" t="s">
        <v>573</v>
      </c>
      <c r="G11" s="4" t="s">
        <v>158</v>
      </c>
      <c r="H11" s="6">
        <v>46055.751388888886</v>
      </c>
    </row>
    <row r="12" spans="1:8" ht="23.1" customHeight="1" x14ac:dyDescent="0.25">
      <c r="A12" s="4" t="s">
        <v>553</v>
      </c>
      <c r="B12" s="4" t="s">
        <v>572</v>
      </c>
      <c r="C12" s="4" t="s">
        <v>555</v>
      </c>
      <c r="D12" s="5">
        <v>88.38</v>
      </c>
      <c r="E12" s="4" t="s">
        <v>473</v>
      </c>
      <c r="F12" s="4" t="s">
        <v>574</v>
      </c>
      <c r="G12" s="4" t="s">
        <v>158</v>
      </c>
      <c r="H12" s="6">
        <v>46055.751388888886</v>
      </c>
    </row>
    <row r="13" spans="1:8" ht="23.1" customHeight="1" x14ac:dyDescent="0.25">
      <c r="A13" s="4" t="s">
        <v>559</v>
      </c>
      <c r="B13" s="4" t="s">
        <v>575</v>
      </c>
      <c r="C13" s="4" t="s">
        <v>555</v>
      </c>
      <c r="D13" s="5">
        <v>195.23</v>
      </c>
      <c r="E13" s="4" t="s">
        <v>360</v>
      </c>
      <c r="F13" s="4" t="s">
        <v>576</v>
      </c>
      <c r="G13" s="4" t="s">
        <v>211</v>
      </c>
      <c r="H13" s="6">
        <v>46060.01666666667</v>
      </c>
    </row>
    <row r="14" spans="1:8" ht="23.1" customHeight="1" x14ac:dyDescent="0.25">
      <c r="A14" s="4" t="s">
        <v>553</v>
      </c>
      <c r="B14" s="4" t="s">
        <v>577</v>
      </c>
      <c r="C14" s="4" t="s">
        <v>555</v>
      </c>
      <c r="D14" s="5">
        <v>130.16</v>
      </c>
      <c r="E14" s="4" t="s">
        <v>452</v>
      </c>
      <c r="F14" s="4" t="s">
        <v>578</v>
      </c>
      <c r="G14" s="4" t="s">
        <v>217</v>
      </c>
      <c r="H14" s="6">
        <v>46046.975694444445</v>
      </c>
    </row>
    <row r="15" spans="1:8" ht="23.1" customHeight="1" x14ac:dyDescent="0.25">
      <c r="A15" s="4" t="s">
        <v>559</v>
      </c>
      <c r="B15" s="4" t="s">
        <v>579</v>
      </c>
      <c r="C15" s="4" t="s">
        <v>555</v>
      </c>
      <c r="D15" s="5">
        <v>130.16</v>
      </c>
      <c r="E15" s="4" t="s">
        <v>441</v>
      </c>
      <c r="F15" s="4" t="s">
        <v>580</v>
      </c>
      <c r="G15" s="4" t="s">
        <v>52</v>
      </c>
      <c r="H15" s="6">
        <v>46062.181250000001</v>
      </c>
    </row>
    <row r="16" spans="1:8" ht="23.1" customHeight="1" x14ac:dyDescent="0.25">
      <c r="A16" s="4" t="s">
        <v>581</v>
      </c>
      <c r="B16" s="4" t="s">
        <v>239</v>
      </c>
      <c r="C16" s="4" t="s">
        <v>555</v>
      </c>
      <c r="D16" s="5">
        <v>130.16</v>
      </c>
      <c r="E16" s="4" t="s">
        <v>238</v>
      </c>
      <c r="F16" s="4" t="s">
        <v>582</v>
      </c>
      <c r="G16" s="4" t="s">
        <v>116</v>
      </c>
      <c r="H16" s="6">
        <v>46056.54583333333</v>
      </c>
    </row>
    <row r="17" spans="1:8" ht="23.1" customHeight="1" x14ac:dyDescent="0.25">
      <c r="A17" s="4" t="s">
        <v>583</v>
      </c>
      <c r="B17" s="4" t="s">
        <v>275</v>
      </c>
      <c r="C17" s="4" t="s">
        <v>555</v>
      </c>
      <c r="D17" s="5">
        <v>195.23</v>
      </c>
      <c r="E17" s="4" t="s">
        <v>274</v>
      </c>
      <c r="F17" s="4" t="s">
        <v>584</v>
      </c>
      <c r="G17" s="4" t="s">
        <v>52</v>
      </c>
      <c r="H17" s="6">
        <v>46063.320138888892</v>
      </c>
    </row>
    <row r="18" spans="1:8" ht="23.1" customHeight="1" x14ac:dyDescent="0.25">
      <c r="A18" s="4" t="s">
        <v>553</v>
      </c>
      <c r="B18" s="4" t="s">
        <v>275</v>
      </c>
      <c r="C18" s="4" t="s">
        <v>555</v>
      </c>
      <c r="D18" s="5">
        <v>130.16</v>
      </c>
      <c r="E18" s="4" t="s">
        <v>274</v>
      </c>
      <c r="F18" s="4" t="s">
        <v>585</v>
      </c>
      <c r="G18" s="4" t="s">
        <v>52</v>
      </c>
      <c r="H18" s="6">
        <v>46041.393055555556</v>
      </c>
    </row>
    <row r="19" spans="1:8" ht="23.1" customHeight="1" x14ac:dyDescent="0.25">
      <c r="A19" s="4" t="s">
        <v>553</v>
      </c>
      <c r="B19" s="4" t="s">
        <v>586</v>
      </c>
      <c r="C19" s="4" t="s">
        <v>555</v>
      </c>
      <c r="D19" s="5">
        <v>88.38</v>
      </c>
      <c r="E19" s="4" t="s">
        <v>201</v>
      </c>
      <c r="F19" s="4" t="s">
        <v>587</v>
      </c>
      <c r="G19" s="4" t="s">
        <v>202</v>
      </c>
      <c r="H19" s="6">
        <v>46040.799305555556</v>
      </c>
    </row>
    <row r="20" spans="1:8" ht="23.1" customHeight="1" x14ac:dyDescent="0.25">
      <c r="A20" s="4" t="s">
        <v>553</v>
      </c>
      <c r="B20" s="4" t="s">
        <v>228</v>
      </c>
      <c r="C20" s="4" t="s">
        <v>555</v>
      </c>
      <c r="D20" s="5">
        <v>293.47000000000003</v>
      </c>
      <c r="E20" s="4" t="s">
        <v>227</v>
      </c>
      <c r="F20" s="4" t="s">
        <v>588</v>
      </c>
      <c r="G20" s="4" t="s">
        <v>12</v>
      </c>
      <c r="H20" s="6">
        <v>46044.738888888889</v>
      </c>
    </row>
    <row r="21" spans="1:8" ht="23.1" customHeight="1" x14ac:dyDescent="0.25">
      <c r="A21" s="4" t="s">
        <v>553</v>
      </c>
      <c r="B21" s="4" t="s">
        <v>228</v>
      </c>
      <c r="C21" s="4" t="s">
        <v>555</v>
      </c>
      <c r="D21" s="5">
        <v>880.41</v>
      </c>
      <c r="E21" s="4" t="s">
        <v>227</v>
      </c>
      <c r="F21" s="4" t="s">
        <v>589</v>
      </c>
      <c r="G21" s="4" t="s">
        <v>12</v>
      </c>
      <c r="H21" s="6">
        <v>46052.731944444444</v>
      </c>
    </row>
    <row r="22" spans="1:8" ht="23.1" customHeight="1" x14ac:dyDescent="0.25">
      <c r="A22" s="4" t="s">
        <v>568</v>
      </c>
      <c r="B22" s="4" t="s">
        <v>590</v>
      </c>
      <c r="C22" s="4" t="s">
        <v>555</v>
      </c>
      <c r="D22" s="5">
        <v>130.16</v>
      </c>
      <c r="E22" s="4" t="s">
        <v>504</v>
      </c>
      <c r="F22" s="4" t="s">
        <v>591</v>
      </c>
      <c r="G22" s="4" t="s">
        <v>55</v>
      </c>
      <c r="H22" s="6">
        <v>46061.95</v>
      </c>
    </row>
    <row r="23" spans="1:8" ht="23.1" customHeight="1" x14ac:dyDescent="0.25">
      <c r="A23" s="4" t="s">
        <v>592</v>
      </c>
      <c r="B23" s="4" t="s">
        <v>593</v>
      </c>
      <c r="C23" s="4" t="s">
        <v>555</v>
      </c>
      <c r="D23" s="5">
        <v>130.16</v>
      </c>
      <c r="E23" s="4" t="s">
        <v>432</v>
      </c>
      <c r="F23" s="4" t="s">
        <v>594</v>
      </c>
      <c r="G23" s="4" t="s">
        <v>55</v>
      </c>
      <c r="H23" s="6">
        <v>46054.700694444444</v>
      </c>
    </row>
    <row r="24" spans="1:8" ht="23.1" customHeight="1" x14ac:dyDescent="0.25">
      <c r="A24" s="4" t="s">
        <v>595</v>
      </c>
      <c r="B24" s="4" t="s">
        <v>143</v>
      </c>
      <c r="C24" s="4" t="s">
        <v>555</v>
      </c>
      <c r="D24" s="5">
        <v>293.47000000000003</v>
      </c>
      <c r="E24" s="4" t="s">
        <v>142</v>
      </c>
      <c r="F24" s="4" t="s">
        <v>596</v>
      </c>
      <c r="G24" s="4" t="s">
        <v>55</v>
      </c>
      <c r="H24" s="6">
        <v>46063.444444444445</v>
      </c>
    </row>
    <row r="25" spans="1:8" ht="23.1" customHeight="1" x14ac:dyDescent="0.25">
      <c r="A25" s="4" t="s">
        <v>559</v>
      </c>
      <c r="B25" s="4" t="s">
        <v>597</v>
      </c>
      <c r="C25" s="4" t="s">
        <v>555</v>
      </c>
      <c r="D25" s="5">
        <v>130.16</v>
      </c>
      <c r="E25" s="4" t="s">
        <v>435</v>
      </c>
      <c r="F25" s="4" t="s">
        <v>598</v>
      </c>
      <c r="G25" s="4" t="s">
        <v>12</v>
      </c>
      <c r="H25" s="6">
        <v>46060.855555555558</v>
      </c>
    </row>
    <row r="26" spans="1:8" ht="23.1" customHeight="1" x14ac:dyDescent="0.25">
      <c r="A26" s="4" t="s">
        <v>559</v>
      </c>
      <c r="B26" s="4" t="s">
        <v>597</v>
      </c>
      <c r="C26" s="4" t="s">
        <v>555</v>
      </c>
      <c r="D26" s="5">
        <v>195.23</v>
      </c>
      <c r="E26" s="4" t="s">
        <v>435</v>
      </c>
      <c r="F26" s="4" t="s">
        <v>599</v>
      </c>
      <c r="G26" s="4" t="s">
        <v>12</v>
      </c>
      <c r="H26" s="6">
        <v>46060.855555555558</v>
      </c>
    </row>
    <row r="27" spans="1:8" ht="23.1" customHeight="1" x14ac:dyDescent="0.25">
      <c r="A27" s="4" t="s">
        <v>553</v>
      </c>
      <c r="B27" s="4" t="s">
        <v>600</v>
      </c>
      <c r="C27" s="4" t="s">
        <v>555</v>
      </c>
      <c r="D27" s="5">
        <v>130.16</v>
      </c>
      <c r="E27" s="4" t="s">
        <v>481</v>
      </c>
      <c r="F27" s="4" t="s">
        <v>601</v>
      </c>
      <c r="G27" s="4" t="s">
        <v>12</v>
      </c>
      <c r="H27" s="6">
        <v>46036.29583333333</v>
      </c>
    </row>
    <row r="28" spans="1:8" ht="23.1" customHeight="1" x14ac:dyDescent="0.25">
      <c r="A28" s="4" t="s">
        <v>583</v>
      </c>
      <c r="B28" s="4" t="s">
        <v>602</v>
      </c>
      <c r="C28" s="4" t="s">
        <v>555</v>
      </c>
      <c r="D28" s="5">
        <v>293.47000000000003</v>
      </c>
      <c r="E28" s="4" t="s">
        <v>479</v>
      </c>
      <c r="F28" s="4" t="s">
        <v>603</v>
      </c>
      <c r="G28" s="4" t="s">
        <v>12</v>
      </c>
      <c r="H28" s="6">
        <v>46051.9</v>
      </c>
    </row>
    <row r="29" spans="1:8" ht="23.1" customHeight="1" x14ac:dyDescent="0.25">
      <c r="A29" s="4" t="s">
        <v>553</v>
      </c>
      <c r="B29" s="4" t="s">
        <v>604</v>
      </c>
      <c r="C29" s="4" t="s">
        <v>555</v>
      </c>
      <c r="D29" s="5">
        <v>130.16</v>
      </c>
      <c r="E29" s="4" t="s">
        <v>434</v>
      </c>
      <c r="F29" s="4" t="s">
        <v>605</v>
      </c>
      <c r="G29" s="4" t="s">
        <v>55</v>
      </c>
      <c r="H29" s="6">
        <v>46044.647916666669</v>
      </c>
    </row>
    <row r="30" spans="1:8" ht="23.1" customHeight="1" x14ac:dyDescent="0.25">
      <c r="A30" s="4" t="s">
        <v>553</v>
      </c>
      <c r="B30" s="4" t="s">
        <v>606</v>
      </c>
      <c r="C30" s="4" t="s">
        <v>555</v>
      </c>
      <c r="D30" s="5">
        <v>130.16</v>
      </c>
      <c r="E30" s="4" t="s">
        <v>506</v>
      </c>
      <c r="F30" s="4" t="s">
        <v>607</v>
      </c>
      <c r="G30" s="4" t="s">
        <v>158</v>
      </c>
      <c r="H30" s="6">
        <v>46042.015972222223</v>
      </c>
    </row>
    <row r="31" spans="1:8" ht="23.1" customHeight="1" x14ac:dyDescent="0.25">
      <c r="A31" s="4" t="s">
        <v>608</v>
      </c>
      <c r="B31" s="4" t="s">
        <v>609</v>
      </c>
      <c r="C31" s="4" t="s">
        <v>555</v>
      </c>
      <c r="D31" s="5">
        <v>293.47000000000003</v>
      </c>
      <c r="E31" s="4" t="s">
        <v>418</v>
      </c>
      <c r="F31" s="4" t="s">
        <v>610</v>
      </c>
      <c r="G31" s="4" t="s">
        <v>611</v>
      </c>
      <c r="H31" s="6">
        <v>46054.024305555555</v>
      </c>
    </row>
    <row r="32" spans="1:8" ht="23.1" customHeight="1" x14ac:dyDescent="0.25">
      <c r="A32" s="4" t="s">
        <v>568</v>
      </c>
      <c r="B32" s="4" t="s">
        <v>612</v>
      </c>
      <c r="C32" s="4" t="s">
        <v>555</v>
      </c>
      <c r="D32" s="5">
        <v>130.16</v>
      </c>
      <c r="E32" s="4" t="s">
        <v>412</v>
      </c>
      <c r="F32" s="4" t="s">
        <v>613</v>
      </c>
      <c r="G32" s="4" t="s">
        <v>614</v>
      </c>
      <c r="H32" s="6">
        <v>46059.371527777781</v>
      </c>
    </row>
    <row r="33" spans="1:8" ht="23.1" customHeight="1" x14ac:dyDescent="0.25">
      <c r="A33" s="4" t="s">
        <v>559</v>
      </c>
      <c r="B33" s="4" t="s">
        <v>615</v>
      </c>
      <c r="C33" s="4" t="s">
        <v>555</v>
      </c>
      <c r="D33" s="5">
        <v>88.38</v>
      </c>
      <c r="E33" s="4" t="s">
        <v>437</v>
      </c>
      <c r="F33" s="4" t="s">
        <v>616</v>
      </c>
      <c r="G33" s="4" t="s">
        <v>217</v>
      </c>
      <c r="H33" s="6">
        <v>46058.942361111112</v>
      </c>
    </row>
    <row r="34" spans="1:8" ht="23.1" customHeight="1" x14ac:dyDescent="0.25">
      <c r="A34" s="4" t="s">
        <v>553</v>
      </c>
      <c r="B34" s="4" t="s">
        <v>617</v>
      </c>
      <c r="C34" s="4" t="s">
        <v>555</v>
      </c>
      <c r="D34" s="5">
        <v>293.47000000000003</v>
      </c>
      <c r="E34" s="4" t="s">
        <v>461</v>
      </c>
      <c r="F34" s="4" t="s">
        <v>618</v>
      </c>
      <c r="G34" s="4" t="s">
        <v>12</v>
      </c>
      <c r="H34" s="6">
        <v>46049.322222222225</v>
      </c>
    </row>
    <row r="35" spans="1:8" ht="23.1" customHeight="1" x14ac:dyDescent="0.25">
      <c r="A35" s="4" t="s">
        <v>559</v>
      </c>
      <c r="B35" s="4" t="s">
        <v>59</v>
      </c>
      <c r="C35" s="4" t="s">
        <v>555</v>
      </c>
      <c r="D35" s="5">
        <v>130.16</v>
      </c>
      <c r="E35" s="4" t="s">
        <v>58</v>
      </c>
      <c r="F35" s="4" t="s">
        <v>619</v>
      </c>
      <c r="G35" s="4" t="s">
        <v>55</v>
      </c>
      <c r="H35" s="6">
        <v>46046.366666666669</v>
      </c>
    </row>
    <row r="36" spans="1:8" ht="23.1" customHeight="1" x14ac:dyDescent="0.25">
      <c r="A36" s="4" t="s">
        <v>565</v>
      </c>
      <c r="B36" s="4" t="s">
        <v>273</v>
      </c>
      <c r="C36" s="4" t="s">
        <v>555</v>
      </c>
      <c r="D36" s="5">
        <v>293.47000000000003</v>
      </c>
      <c r="E36" s="4" t="s">
        <v>272</v>
      </c>
      <c r="F36" s="4" t="s">
        <v>620</v>
      </c>
      <c r="G36" s="4" t="s">
        <v>55</v>
      </c>
      <c r="H36" s="6">
        <v>46059.651388888888</v>
      </c>
    </row>
    <row r="37" spans="1:8" ht="23.1" customHeight="1" x14ac:dyDescent="0.25">
      <c r="A37" s="4" t="s">
        <v>559</v>
      </c>
      <c r="B37" s="4" t="s">
        <v>621</v>
      </c>
      <c r="C37" s="4" t="s">
        <v>555</v>
      </c>
      <c r="D37" s="5">
        <v>130.16</v>
      </c>
      <c r="E37" s="4" t="s">
        <v>60</v>
      </c>
      <c r="F37" s="4" t="s">
        <v>622</v>
      </c>
      <c r="G37" s="4" t="s">
        <v>52</v>
      </c>
      <c r="H37" s="6">
        <v>46065.706250000003</v>
      </c>
    </row>
    <row r="38" spans="1:8" ht="23.1" customHeight="1" x14ac:dyDescent="0.25">
      <c r="A38" s="4" t="s">
        <v>553</v>
      </c>
      <c r="B38" s="4" t="s">
        <v>623</v>
      </c>
      <c r="C38" s="4" t="s">
        <v>555</v>
      </c>
      <c r="D38" s="5">
        <v>195.23</v>
      </c>
      <c r="E38" s="4" t="s">
        <v>454</v>
      </c>
      <c r="F38" s="4" t="s">
        <v>624</v>
      </c>
      <c r="G38" s="4" t="s">
        <v>455</v>
      </c>
      <c r="H38" s="6">
        <v>46050.285416666666</v>
      </c>
    </row>
    <row r="39" spans="1:8" ht="23.1" customHeight="1" x14ac:dyDescent="0.25">
      <c r="A39" s="4" t="s">
        <v>608</v>
      </c>
      <c r="B39" s="4" t="s">
        <v>625</v>
      </c>
      <c r="C39" s="4" t="s">
        <v>555</v>
      </c>
      <c r="D39" s="5">
        <v>293.47000000000003</v>
      </c>
      <c r="E39" s="4" t="s">
        <v>519</v>
      </c>
      <c r="F39" s="4" t="s">
        <v>626</v>
      </c>
      <c r="G39" s="4" t="s">
        <v>520</v>
      </c>
      <c r="H39" s="6">
        <v>46067.617361111108</v>
      </c>
    </row>
    <row r="40" spans="1:8" ht="23.1" customHeight="1" x14ac:dyDescent="0.25">
      <c r="A40" s="4" t="s">
        <v>627</v>
      </c>
      <c r="B40" s="4" t="s">
        <v>628</v>
      </c>
      <c r="C40" s="4" t="s">
        <v>555</v>
      </c>
      <c r="D40" s="5">
        <v>130.16</v>
      </c>
      <c r="E40" s="4" t="s">
        <v>629</v>
      </c>
      <c r="F40" s="4" t="s">
        <v>630</v>
      </c>
      <c r="G40" s="4" t="s">
        <v>387</v>
      </c>
      <c r="H40" s="6">
        <v>46065.572222222225</v>
      </c>
    </row>
    <row r="41" spans="1:8" ht="23.1" customHeight="1" x14ac:dyDescent="0.25">
      <c r="A41" s="4" t="s">
        <v>592</v>
      </c>
      <c r="B41" s="4" t="s">
        <v>631</v>
      </c>
      <c r="C41" s="4" t="s">
        <v>555</v>
      </c>
      <c r="D41" s="5">
        <v>130.16</v>
      </c>
      <c r="E41" s="4" t="s">
        <v>449</v>
      </c>
      <c r="F41" s="4" t="s">
        <v>632</v>
      </c>
      <c r="G41" s="4" t="s">
        <v>217</v>
      </c>
      <c r="H41" s="6">
        <v>46049.030555555553</v>
      </c>
    </row>
    <row r="42" spans="1:8" ht="23.1" customHeight="1" x14ac:dyDescent="0.25">
      <c r="A42" s="4" t="s">
        <v>592</v>
      </c>
      <c r="B42" s="4" t="s">
        <v>631</v>
      </c>
      <c r="C42" s="4" t="s">
        <v>555</v>
      </c>
      <c r="D42" s="5">
        <v>130.16</v>
      </c>
      <c r="E42" s="4" t="s">
        <v>449</v>
      </c>
      <c r="F42" s="4" t="s">
        <v>633</v>
      </c>
      <c r="G42" s="4" t="s">
        <v>217</v>
      </c>
      <c r="H42" s="6">
        <v>46049.036805555559</v>
      </c>
    </row>
    <row r="43" spans="1:8" ht="23.1" customHeight="1" x14ac:dyDescent="0.25">
      <c r="A43" s="4" t="s">
        <v>559</v>
      </c>
      <c r="B43" s="4" t="s">
        <v>631</v>
      </c>
      <c r="C43" s="4" t="s">
        <v>555</v>
      </c>
      <c r="D43" s="5">
        <v>130.16</v>
      </c>
      <c r="E43" s="4" t="s">
        <v>449</v>
      </c>
      <c r="F43" s="4" t="s">
        <v>634</v>
      </c>
      <c r="G43" s="4" t="s">
        <v>217</v>
      </c>
      <c r="H43" s="6">
        <v>46062.659722222219</v>
      </c>
    </row>
    <row r="44" spans="1:8" ht="23.1" customHeight="1" x14ac:dyDescent="0.25">
      <c r="A44" s="4" t="s">
        <v>553</v>
      </c>
      <c r="B44" s="4" t="s">
        <v>631</v>
      </c>
      <c r="C44" s="4" t="s">
        <v>555</v>
      </c>
      <c r="D44" s="5">
        <v>130.16</v>
      </c>
      <c r="E44" s="4" t="s">
        <v>449</v>
      </c>
      <c r="F44" s="4" t="s">
        <v>635</v>
      </c>
      <c r="G44" s="4" t="s">
        <v>217</v>
      </c>
      <c r="H44" s="6">
        <v>46048.640972222223</v>
      </c>
    </row>
    <row r="45" spans="1:8" ht="23.1" customHeight="1" x14ac:dyDescent="0.25">
      <c r="A45" s="4" t="s">
        <v>565</v>
      </c>
      <c r="B45" s="4" t="s">
        <v>636</v>
      </c>
      <c r="C45" s="4" t="s">
        <v>555</v>
      </c>
      <c r="D45" s="5">
        <v>293.47000000000003</v>
      </c>
      <c r="E45" s="4" t="s">
        <v>494</v>
      </c>
      <c r="F45" s="4" t="s">
        <v>637</v>
      </c>
      <c r="G45" s="4" t="s">
        <v>638</v>
      </c>
      <c r="H45" s="6">
        <v>46048.73541666667</v>
      </c>
    </row>
    <row r="46" spans="1:8" ht="23.1" customHeight="1" x14ac:dyDescent="0.25">
      <c r="A46" s="4" t="s">
        <v>568</v>
      </c>
      <c r="B46" s="4" t="s">
        <v>639</v>
      </c>
      <c r="C46" s="4" t="s">
        <v>555</v>
      </c>
      <c r="D46" s="5">
        <v>130.16</v>
      </c>
      <c r="E46" s="4" t="s">
        <v>487</v>
      </c>
      <c r="F46" s="4" t="s">
        <v>640</v>
      </c>
      <c r="G46" s="4" t="s">
        <v>52</v>
      </c>
      <c r="H46" s="6">
        <v>46064.698611111111</v>
      </c>
    </row>
    <row r="47" spans="1:8" ht="23.1" customHeight="1" x14ac:dyDescent="0.25">
      <c r="A47" s="4" t="s">
        <v>565</v>
      </c>
      <c r="B47" s="4" t="s">
        <v>306</v>
      </c>
      <c r="C47" s="4" t="s">
        <v>555</v>
      </c>
      <c r="D47" s="5">
        <v>130.16</v>
      </c>
      <c r="E47" s="4" t="s">
        <v>305</v>
      </c>
      <c r="F47" s="4" t="s">
        <v>641</v>
      </c>
      <c r="G47" s="4" t="s">
        <v>41</v>
      </c>
      <c r="H47" s="6">
        <v>46063.78402777778</v>
      </c>
    </row>
    <row r="48" spans="1:8" x14ac:dyDescent="0.25">
      <c r="A48" s="43" t="s">
        <v>583</v>
      </c>
      <c r="B48" s="43" t="s">
        <v>730</v>
      </c>
      <c r="C48" s="43" t="s">
        <v>555</v>
      </c>
      <c r="D48" s="44">
        <v>293.47000000000003</v>
      </c>
      <c r="E48" s="43" t="s">
        <v>331</v>
      </c>
      <c r="F48" s="43" t="s">
        <v>731</v>
      </c>
      <c r="G48" s="43" t="s">
        <v>12</v>
      </c>
      <c r="H48" s="45">
        <v>46058.868055555555</v>
      </c>
    </row>
    <row r="49" spans="1:8" x14ac:dyDescent="0.25">
      <c r="A49" s="43" t="s">
        <v>553</v>
      </c>
      <c r="B49" s="43" t="s">
        <v>732</v>
      </c>
      <c r="C49" s="43" t="s">
        <v>555</v>
      </c>
      <c r="D49" s="44">
        <v>195.23</v>
      </c>
      <c r="E49" s="43" t="s">
        <v>367</v>
      </c>
      <c r="F49" s="43" t="s">
        <v>733</v>
      </c>
      <c r="G49" s="43" t="s">
        <v>52</v>
      </c>
      <c r="H49" s="45">
        <v>46053.509722222225</v>
      </c>
    </row>
    <row r="50" spans="1:8" x14ac:dyDescent="0.25">
      <c r="A50" s="43" t="s">
        <v>583</v>
      </c>
      <c r="B50" s="43" t="s">
        <v>734</v>
      </c>
      <c r="C50" s="43" t="s">
        <v>555</v>
      </c>
      <c r="D50" s="44">
        <v>130.16</v>
      </c>
      <c r="E50" s="43" t="s">
        <v>345</v>
      </c>
      <c r="F50" s="43" t="s">
        <v>735</v>
      </c>
      <c r="G50" s="43" t="s">
        <v>217</v>
      </c>
      <c r="H50" s="45">
        <v>46077.604861111111</v>
      </c>
    </row>
    <row r="51" spans="1:8" x14ac:dyDescent="0.25">
      <c r="A51" s="43" t="s">
        <v>553</v>
      </c>
      <c r="B51" s="43" t="s">
        <v>734</v>
      </c>
      <c r="C51" s="43" t="s">
        <v>555</v>
      </c>
      <c r="D51" s="44">
        <v>293.47000000000003</v>
      </c>
      <c r="E51" s="43" t="s">
        <v>345</v>
      </c>
      <c r="F51" s="43" t="s">
        <v>736</v>
      </c>
      <c r="G51" s="43" t="s">
        <v>217</v>
      </c>
      <c r="H51" s="45">
        <v>46065.52847222222</v>
      </c>
    </row>
    <row r="52" spans="1:8" x14ac:dyDescent="0.25">
      <c r="A52" s="43" t="s">
        <v>592</v>
      </c>
      <c r="B52" s="43" t="s">
        <v>737</v>
      </c>
      <c r="C52" s="43" t="s">
        <v>555</v>
      </c>
      <c r="D52" s="44">
        <v>195.23</v>
      </c>
      <c r="E52" s="43" t="s">
        <v>410</v>
      </c>
      <c r="F52" s="43" t="s">
        <v>738</v>
      </c>
      <c r="G52" s="43" t="s">
        <v>739</v>
      </c>
      <c r="H52" s="45">
        <v>46051.780555555553</v>
      </c>
    </row>
    <row r="53" spans="1:8" x14ac:dyDescent="0.25">
      <c r="A53" s="43" t="s">
        <v>553</v>
      </c>
      <c r="B53" s="43" t="s">
        <v>740</v>
      </c>
      <c r="C53" s="43" t="s">
        <v>555</v>
      </c>
      <c r="D53" s="44">
        <v>130.16</v>
      </c>
      <c r="E53" s="43" t="s">
        <v>439</v>
      </c>
      <c r="F53" s="43" t="s">
        <v>741</v>
      </c>
      <c r="G53" s="43" t="s">
        <v>52</v>
      </c>
      <c r="H53" s="45">
        <v>46058.90347222222</v>
      </c>
    </row>
    <row r="54" spans="1:8" x14ac:dyDescent="0.25">
      <c r="A54" s="43" t="s">
        <v>553</v>
      </c>
      <c r="B54" s="43" t="s">
        <v>740</v>
      </c>
      <c r="C54" s="43" t="s">
        <v>555</v>
      </c>
      <c r="D54" s="44">
        <v>130.16</v>
      </c>
      <c r="E54" s="43" t="s">
        <v>439</v>
      </c>
      <c r="F54" s="43" t="s">
        <v>742</v>
      </c>
      <c r="G54" s="43" t="s">
        <v>52</v>
      </c>
      <c r="H54" s="45">
        <v>46059.138194444444</v>
      </c>
    </row>
    <row r="55" spans="1:8" x14ac:dyDescent="0.25">
      <c r="A55" s="43" t="s">
        <v>559</v>
      </c>
      <c r="B55" s="43" t="s">
        <v>743</v>
      </c>
      <c r="C55" s="43" t="s">
        <v>555</v>
      </c>
      <c r="D55" s="44">
        <v>130.16</v>
      </c>
      <c r="E55" s="43" t="s">
        <v>404</v>
      </c>
      <c r="F55" s="43" t="s">
        <v>744</v>
      </c>
      <c r="G55" s="43" t="s">
        <v>55</v>
      </c>
      <c r="H55" s="45">
        <v>46074.713888888888</v>
      </c>
    </row>
    <row r="56" spans="1:8" x14ac:dyDescent="0.25">
      <c r="A56" s="43" t="s">
        <v>568</v>
      </c>
      <c r="B56" s="43" t="s">
        <v>745</v>
      </c>
      <c r="C56" s="43" t="s">
        <v>555</v>
      </c>
      <c r="D56" s="44">
        <v>130.16</v>
      </c>
      <c r="E56" s="43" t="s">
        <v>412</v>
      </c>
      <c r="F56" s="43" t="s">
        <v>746</v>
      </c>
      <c r="G56" s="43" t="s">
        <v>614</v>
      </c>
      <c r="H56" s="45">
        <v>46068.287499999999</v>
      </c>
    </row>
    <row r="57" spans="1:8" x14ac:dyDescent="0.25">
      <c r="A57" s="43" t="s">
        <v>559</v>
      </c>
      <c r="B57" s="43" t="s">
        <v>612</v>
      </c>
      <c r="C57" s="43" t="s">
        <v>555</v>
      </c>
      <c r="D57" s="44">
        <v>130.16</v>
      </c>
      <c r="E57" s="43" t="s">
        <v>412</v>
      </c>
      <c r="F57" s="43" t="s">
        <v>747</v>
      </c>
      <c r="G57" s="43" t="s">
        <v>614</v>
      </c>
      <c r="H57" s="45">
        <v>46058.315972222219</v>
      </c>
    </row>
    <row r="58" spans="1:8" x14ac:dyDescent="0.25">
      <c r="A58" s="43" t="s">
        <v>553</v>
      </c>
      <c r="B58" s="43" t="s">
        <v>237</v>
      </c>
      <c r="C58" s="43" t="s">
        <v>555</v>
      </c>
      <c r="D58" s="44">
        <v>130.16</v>
      </c>
      <c r="E58" s="43" t="s">
        <v>236</v>
      </c>
      <c r="F58" s="43" t="s">
        <v>748</v>
      </c>
      <c r="G58" s="43" t="s">
        <v>158</v>
      </c>
      <c r="H58" s="45">
        <v>46054.07708333333</v>
      </c>
    </row>
    <row r="59" spans="1:8" x14ac:dyDescent="0.25">
      <c r="A59" s="43" t="s">
        <v>553</v>
      </c>
      <c r="B59" s="43" t="s">
        <v>749</v>
      </c>
      <c r="C59" s="43" t="s">
        <v>555</v>
      </c>
      <c r="D59" s="44">
        <v>130.16</v>
      </c>
      <c r="E59" s="43" t="s">
        <v>538</v>
      </c>
      <c r="F59" s="43" t="s">
        <v>750</v>
      </c>
      <c r="G59" s="43" t="s">
        <v>178</v>
      </c>
      <c r="H59" s="45">
        <v>46064.679861111108</v>
      </c>
    </row>
    <row r="60" spans="1:8" ht="30" x14ac:dyDescent="0.25">
      <c r="A60" s="43" t="s">
        <v>751</v>
      </c>
      <c r="B60" s="43" t="s">
        <v>112</v>
      </c>
      <c r="C60" s="43" t="s">
        <v>555</v>
      </c>
      <c r="D60" s="44">
        <v>130.16</v>
      </c>
      <c r="E60" s="43" t="s">
        <v>110</v>
      </c>
      <c r="F60" s="43" t="s">
        <v>752</v>
      </c>
      <c r="G60" s="43" t="s">
        <v>55</v>
      </c>
      <c r="H60" s="45">
        <v>46073.807638888888</v>
      </c>
    </row>
    <row r="61" spans="1:8" x14ac:dyDescent="0.25">
      <c r="A61" s="43" t="s">
        <v>553</v>
      </c>
      <c r="B61" s="43" t="s">
        <v>617</v>
      </c>
      <c r="C61" s="43" t="s">
        <v>555</v>
      </c>
      <c r="D61" s="44">
        <v>293.47000000000003</v>
      </c>
      <c r="E61" s="43" t="s">
        <v>461</v>
      </c>
      <c r="F61" s="43" t="s">
        <v>753</v>
      </c>
      <c r="G61" s="43" t="s">
        <v>12</v>
      </c>
      <c r="H61" s="45">
        <v>46062.36041666667</v>
      </c>
    </row>
    <row r="62" spans="1:8" ht="30" x14ac:dyDescent="0.25">
      <c r="A62" s="43" t="s">
        <v>751</v>
      </c>
      <c r="B62" s="43" t="s">
        <v>754</v>
      </c>
      <c r="C62" s="43" t="s">
        <v>555</v>
      </c>
      <c r="D62" s="44">
        <v>130.16</v>
      </c>
      <c r="E62" s="43" t="s">
        <v>121</v>
      </c>
      <c r="F62" s="43" t="s">
        <v>755</v>
      </c>
      <c r="G62" s="43" t="s">
        <v>52</v>
      </c>
      <c r="H62" s="45">
        <v>46069.486111111109</v>
      </c>
    </row>
    <row r="63" spans="1:8" x14ac:dyDescent="0.25">
      <c r="A63" s="43" t="s">
        <v>756</v>
      </c>
      <c r="B63" s="43" t="s">
        <v>757</v>
      </c>
      <c r="C63" s="43" t="s">
        <v>555</v>
      </c>
      <c r="D63" s="44">
        <v>195.23</v>
      </c>
      <c r="E63" s="43" t="s">
        <v>296</v>
      </c>
      <c r="F63" s="43" t="s">
        <v>758</v>
      </c>
      <c r="G63" s="43" t="s">
        <v>55</v>
      </c>
      <c r="H63" s="45">
        <v>46066.613194444442</v>
      </c>
    </row>
    <row r="64" spans="1:8" x14ac:dyDescent="0.25">
      <c r="A64" s="43" t="s">
        <v>759</v>
      </c>
      <c r="B64" s="43" t="s">
        <v>760</v>
      </c>
      <c r="C64" s="43" t="s">
        <v>555</v>
      </c>
      <c r="D64" s="44">
        <v>195.23</v>
      </c>
      <c r="E64" s="43" t="s">
        <v>495</v>
      </c>
      <c r="F64" s="43" t="s">
        <v>761</v>
      </c>
      <c r="G64" s="43" t="s">
        <v>393</v>
      </c>
      <c r="H64" s="45">
        <v>46058.404861111114</v>
      </c>
    </row>
    <row r="65" spans="1:8" x14ac:dyDescent="0.25">
      <c r="A65" s="43" t="s">
        <v>553</v>
      </c>
      <c r="B65" s="43" t="s">
        <v>631</v>
      </c>
      <c r="C65" s="43" t="s">
        <v>555</v>
      </c>
      <c r="D65" s="44">
        <v>130.16</v>
      </c>
      <c r="E65" s="43" t="s">
        <v>449</v>
      </c>
      <c r="F65" s="43" t="s">
        <v>762</v>
      </c>
      <c r="G65" s="43" t="s">
        <v>217</v>
      </c>
      <c r="H65" s="45">
        <v>46064.699305555558</v>
      </c>
    </row>
    <row r="66" spans="1:8" x14ac:dyDescent="0.25">
      <c r="A66" s="43" t="s">
        <v>553</v>
      </c>
      <c r="B66" s="43" t="s">
        <v>763</v>
      </c>
      <c r="C66" s="43" t="s">
        <v>555</v>
      </c>
      <c r="D66" s="44">
        <v>130.16</v>
      </c>
      <c r="E66" s="43" t="s">
        <v>358</v>
      </c>
      <c r="F66" s="43" t="s">
        <v>764</v>
      </c>
      <c r="G66" s="43" t="s">
        <v>52</v>
      </c>
      <c r="H66" s="45">
        <v>46058.174305555556</v>
      </c>
    </row>
    <row r="67" spans="1:8" x14ac:dyDescent="0.25">
      <c r="A67" s="43" t="s">
        <v>565</v>
      </c>
      <c r="B67" s="43" t="s">
        <v>765</v>
      </c>
      <c r="C67" s="43" t="s">
        <v>555</v>
      </c>
      <c r="D67" s="44">
        <v>293.47000000000003</v>
      </c>
      <c r="E67" s="43" t="s">
        <v>531</v>
      </c>
      <c r="F67" s="43" t="s">
        <v>766</v>
      </c>
      <c r="G67" s="43" t="s">
        <v>158</v>
      </c>
      <c r="H67" s="45">
        <v>46069.396527777775</v>
      </c>
    </row>
    <row r="68" spans="1:8" x14ac:dyDescent="0.25">
      <c r="A68" s="43" t="s">
        <v>557</v>
      </c>
      <c r="B68" s="43" t="s">
        <v>767</v>
      </c>
      <c r="C68" s="43" t="s">
        <v>555</v>
      </c>
      <c r="D68" s="44">
        <v>293.47000000000003</v>
      </c>
      <c r="E68" s="43" t="s">
        <v>263</v>
      </c>
      <c r="F68" s="43" t="s">
        <v>768</v>
      </c>
      <c r="G68" s="43" t="s">
        <v>264</v>
      </c>
      <c r="H68" s="45">
        <v>46068.797222222223</v>
      </c>
    </row>
    <row r="69" spans="1:8" x14ac:dyDescent="0.25">
      <c r="A69" s="43" t="s">
        <v>553</v>
      </c>
      <c r="B69" s="43" t="s">
        <v>269</v>
      </c>
      <c r="C69" s="43" t="s">
        <v>555</v>
      </c>
      <c r="D69" s="44">
        <v>293.47000000000003</v>
      </c>
      <c r="E69" s="43" t="s">
        <v>268</v>
      </c>
      <c r="F69" s="43" t="s">
        <v>769</v>
      </c>
      <c r="G69" s="43" t="s">
        <v>52</v>
      </c>
      <c r="H69" s="45">
        <v>46062.742361111108</v>
      </c>
    </row>
    <row r="70" spans="1:8" x14ac:dyDescent="0.25">
      <c r="A70" s="43" t="s">
        <v>559</v>
      </c>
      <c r="B70" s="43" t="s">
        <v>770</v>
      </c>
      <c r="C70" s="43" t="s">
        <v>555</v>
      </c>
      <c r="D70" s="44">
        <v>130.16</v>
      </c>
      <c r="E70" s="43" t="s">
        <v>332</v>
      </c>
      <c r="F70" s="43" t="s">
        <v>771</v>
      </c>
      <c r="G70" s="43" t="s">
        <v>52</v>
      </c>
      <c r="H70" s="45">
        <v>46039.681944444441</v>
      </c>
    </row>
    <row r="71" spans="1:8" ht="30" x14ac:dyDescent="0.25">
      <c r="A71" s="43" t="s">
        <v>751</v>
      </c>
      <c r="B71" s="43" t="s">
        <v>772</v>
      </c>
      <c r="C71" s="43" t="s">
        <v>555</v>
      </c>
      <c r="D71" s="44">
        <v>130.16</v>
      </c>
      <c r="E71" s="43" t="s">
        <v>711</v>
      </c>
      <c r="F71" s="43" t="s">
        <v>773</v>
      </c>
      <c r="G71" s="43" t="s">
        <v>383</v>
      </c>
      <c r="H71" s="45">
        <v>46068.263194444444</v>
      </c>
    </row>
    <row r="72" spans="1:8" ht="30" x14ac:dyDescent="0.25">
      <c r="A72" s="43" t="s">
        <v>751</v>
      </c>
      <c r="B72" s="43" t="s">
        <v>772</v>
      </c>
      <c r="C72" s="43" t="s">
        <v>555</v>
      </c>
      <c r="D72" s="44">
        <v>130.16</v>
      </c>
      <c r="E72" s="43" t="s">
        <v>711</v>
      </c>
      <c r="F72" s="43" t="s">
        <v>774</v>
      </c>
      <c r="G72" s="43" t="s">
        <v>383</v>
      </c>
      <c r="H72" s="45">
        <v>46070.96875</v>
      </c>
    </row>
    <row r="73" spans="1:8" x14ac:dyDescent="0.25">
      <c r="A73" s="43" t="s">
        <v>759</v>
      </c>
      <c r="B73" s="43" t="s">
        <v>775</v>
      </c>
      <c r="C73" s="43" t="s">
        <v>555</v>
      </c>
      <c r="D73" s="44">
        <v>195.23</v>
      </c>
      <c r="E73" s="43" t="s">
        <v>232</v>
      </c>
      <c r="F73" s="43" t="s">
        <v>776</v>
      </c>
      <c r="G73" s="43" t="s">
        <v>158</v>
      </c>
      <c r="H73" s="45">
        <v>46066.481944444444</v>
      </c>
    </row>
    <row r="74" spans="1:8" x14ac:dyDescent="0.25">
      <c r="A74" s="43" t="s">
        <v>553</v>
      </c>
      <c r="B74" s="43" t="s">
        <v>186</v>
      </c>
      <c r="C74" s="43" t="s">
        <v>555</v>
      </c>
      <c r="D74" s="44">
        <v>130.16</v>
      </c>
      <c r="E74" s="43" t="s">
        <v>185</v>
      </c>
      <c r="F74" s="43" t="s">
        <v>777</v>
      </c>
      <c r="G74" s="43" t="s">
        <v>12</v>
      </c>
      <c r="H74" s="45">
        <v>46061.511805555558</v>
      </c>
    </row>
    <row r="75" spans="1:8" x14ac:dyDescent="0.25">
      <c r="A75" s="43" t="s">
        <v>553</v>
      </c>
      <c r="B75" s="43" t="s">
        <v>778</v>
      </c>
      <c r="C75" s="43" t="s">
        <v>555</v>
      </c>
      <c r="D75" s="44">
        <v>293.47000000000003</v>
      </c>
      <c r="E75" s="43" t="s">
        <v>100</v>
      </c>
      <c r="F75" s="43" t="s">
        <v>779</v>
      </c>
      <c r="G75" s="43" t="s">
        <v>780</v>
      </c>
      <c r="H75" s="45">
        <v>46052.754861111112</v>
      </c>
    </row>
    <row r="76" spans="1:8" x14ac:dyDescent="0.25">
      <c r="A76" s="43" t="s">
        <v>553</v>
      </c>
      <c r="B76" s="43" t="s">
        <v>35</v>
      </c>
      <c r="C76" s="43" t="s">
        <v>555</v>
      </c>
      <c r="D76" s="44">
        <v>195.23</v>
      </c>
      <c r="E76" s="43" t="s">
        <v>34</v>
      </c>
      <c r="F76" s="43" t="s">
        <v>781</v>
      </c>
      <c r="G76" s="43" t="s">
        <v>33</v>
      </c>
      <c r="H76" s="45">
        <v>46058.669444444444</v>
      </c>
    </row>
    <row r="77" spans="1:8" x14ac:dyDescent="0.25">
      <c r="A77" s="43" t="s">
        <v>559</v>
      </c>
      <c r="B77" s="43" t="s">
        <v>304</v>
      </c>
      <c r="C77" s="43" t="s">
        <v>555</v>
      </c>
      <c r="D77" s="44">
        <v>130.16</v>
      </c>
      <c r="E77" s="43" t="s">
        <v>303</v>
      </c>
      <c r="F77" s="43" t="s">
        <v>782</v>
      </c>
      <c r="G77" s="43" t="s">
        <v>33</v>
      </c>
      <c r="H77" s="45">
        <v>46070.963888888888</v>
      </c>
    </row>
    <row r="78" spans="1:8" x14ac:dyDescent="0.25">
      <c r="A78" s="43" t="s">
        <v>581</v>
      </c>
      <c r="B78" s="43" t="s">
        <v>560</v>
      </c>
      <c r="C78" s="43" t="s">
        <v>783</v>
      </c>
      <c r="D78" s="44">
        <v>130.16</v>
      </c>
      <c r="E78" s="43" t="s">
        <v>302</v>
      </c>
      <c r="F78" s="43" t="s">
        <v>784</v>
      </c>
      <c r="G78" s="43" t="s">
        <v>55</v>
      </c>
      <c r="H78" s="45">
        <v>46077.652083333334</v>
      </c>
    </row>
    <row r="79" spans="1:8" x14ac:dyDescent="0.25">
      <c r="A79" s="43" t="s">
        <v>583</v>
      </c>
      <c r="B79" s="43" t="s">
        <v>141</v>
      </c>
      <c r="C79" s="43" t="s">
        <v>783</v>
      </c>
      <c r="D79" s="44">
        <v>88.38</v>
      </c>
      <c r="E79" s="43" t="s">
        <v>140</v>
      </c>
      <c r="F79" s="43" t="s">
        <v>785</v>
      </c>
      <c r="G79" s="43" t="s">
        <v>28</v>
      </c>
      <c r="H79" s="45">
        <v>46065.011111111111</v>
      </c>
    </row>
    <row r="80" spans="1:8" x14ac:dyDescent="0.25">
      <c r="A80" s="43" t="s">
        <v>568</v>
      </c>
      <c r="B80" s="43" t="s">
        <v>586</v>
      </c>
      <c r="C80" s="43" t="s">
        <v>555</v>
      </c>
      <c r="D80" s="44">
        <v>130.16</v>
      </c>
      <c r="E80" s="43" t="s">
        <v>201</v>
      </c>
      <c r="F80" s="43" t="s">
        <v>786</v>
      </c>
      <c r="G80" s="43" t="s">
        <v>202</v>
      </c>
      <c r="H80" s="45">
        <v>46074.333333333336</v>
      </c>
    </row>
    <row r="81" spans="1:8" x14ac:dyDescent="0.25">
      <c r="A81" s="43" t="s">
        <v>559</v>
      </c>
      <c r="B81" s="43" t="s">
        <v>787</v>
      </c>
      <c r="C81" s="43" t="s">
        <v>555</v>
      </c>
      <c r="D81" s="44">
        <v>130.16</v>
      </c>
      <c r="E81" s="43" t="s">
        <v>504</v>
      </c>
      <c r="F81" s="43" t="s">
        <v>788</v>
      </c>
      <c r="G81" s="43" t="s">
        <v>55</v>
      </c>
      <c r="H81" s="45">
        <v>46049.349305555559</v>
      </c>
    </row>
    <row r="82" spans="1:8" x14ac:dyDescent="0.25">
      <c r="A82" s="43" t="s">
        <v>553</v>
      </c>
      <c r="B82" s="43" t="s">
        <v>593</v>
      </c>
      <c r="C82" s="43" t="s">
        <v>555</v>
      </c>
      <c r="D82" s="44">
        <v>130.16</v>
      </c>
      <c r="E82" s="43" t="s">
        <v>432</v>
      </c>
      <c r="F82" s="43" t="s">
        <v>789</v>
      </c>
      <c r="G82" s="43" t="s">
        <v>55</v>
      </c>
      <c r="H82" s="45">
        <v>46061.709722222222</v>
      </c>
    </row>
    <row r="83" spans="1:8" x14ac:dyDescent="0.25">
      <c r="A83" s="43" t="s">
        <v>790</v>
      </c>
      <c r="B83" s="43" t="s">
        <v>609</v>
      </c>
      <c r="C83" s="43" t="s">
        <v>555</v>
      </c>
      <c r="D83" s="44">
        <v>293.47000000000003</v>
      </c>
      <c r="E83" s="43" t="s">
        <v>418</v>
      </c>
      <c r="F83" s="43" t="s">
        <v>791</v>
      </c>
      <c r="G83" s="43" t="s">
        <v>611</v>
      </c>
      <c r="H83" s="45">
        <v>46075.311805555553</v>
      </c>
    </row>
    <row r="84" spans="1:8" x14ac:dyDescent="0.25">
      <c r="A84" s="4" t="s">
        <v>559</v>
      </c>
      <c r="B84" s="4" t="s">
        <v>50</v>
      </c>
      <c r="C84" s="4" t="s">
        <v>555</v>
      </c>
      <c r="D84" s="5">
        <v>195.23</v>
      </c>
      <c r="E84" s="4" t="s">
        <v>49</v>
      </c>
      <c r="F84" s="4" t="s">
        <v>793</v>
      </c>
      <c r="G84" s="4" t="s">
        <v>55</v>
      </c>
      <c r="H84" s="6">
        <v>46046.602777777778</v>
      </c>
    </row>
    <row r="85" spans="1:8" x14ac:dyDescent="0.25">
      <c r="A85" s="4" t="s">
        <v>553</v>
      </c>
      <c r="B85" s="4" t="s">
        <v>787</v>
      </c>
      <c r="C85" s="4" t="s">
        <v>555</v>
      </c>
      <c r="D85" s="5">
        <v>130.16</v>
      </c>
      <c r="E85" s="4" t="s">
        <v>374</v>
      </c>
      <c r="F85" s="4" t="s">
        <v>794</v>
      </c>
      <c r="G85" s="4" t="s">
        <v>158</v>
      </c>
      <c r="H85" s="6">
        <v>46071.506249999999</v>
      </c>
    </row>
    <row r="86" spans="1:8" x14ac:dyDescent="0.25">
      <c r="A86" s="4" t="s">
        <v>565</v>
      </c>
      <c r="B86" s="4" t="s">
        <v>795</v>
      </c>
      <c r="C86" s="4" t="s">
        <v>555</v>
      </c>
      <c r="D86" s="5">
        <v>293.47000000000003</v>
      </c>
      <c r="E86" s="4" t="s">
        <v>431</v>
      </c>
      <c r="F86" s="4" t="s">
        <v>796</v>
      </c>
      <c r="G86" s="4" t="s">
        <v>158</v>
      </c>
      <c r="H86" s="6">
        <v>46083.611111111109</v>
      </c>
    </row>
    <row r="87" spans="1:8" x14ac:dyDescent="0.25">
      <c r="A87" s="4" t="s">
        <v>583</v>
      </c>
      <c r="B87" s="4" t="s">
        <v>797</v>
      </c>
      <c r="C87" s="4" t="s">
        <v>555</v>
      </c>
      <c r="D87" s="5">
        <v>130.16</v>
      </c>
      <c r="E87" s="4" t="s">
        <v>507</v>
      </c>
      <c r="F87" s="4" t="s">
        <v>798</v>
      </c>
      <c r="G87" s="4" t="s">
        <v>614</v>
      </c>
      <c r="H87" s="6">
        <v>46082.734027777777</v>
      </c>
    </row>
    <row r="88" spans="1:8" x14ac:dyDescent="0.25">
      <c r="A88" s="4" t="s">
        <v>583</v>
      </c>
      <c r="B88" s="4" t="s">
        <v>797</v>
      </c>
      <c r="C88" s="4" t="s">
        <v>555</v>
      </c>
      <c r="D88" s="5">
        <v>195.23</v>
      </c>
      <c r="E88" s="4" t="s">
        <v>507</v>
      </c>
      <c r="F88" s="4" t="s">
        <v>799</v>
      </c>
      <c r="G88" s="4" t="s">
        <v>614</v>
      </c>
      <c r="H88" s="6">
        <v>46082.743055555555</v>
      </c>
    </row>
    <row r="89" spans="1:8" x14ac:dyDescent="0.25">
      <c r="A89" s="4" t="s">
        <v>581</v>
      </c>
      <c r="B89" s="4" t="s">
        <v>800</v>
      </c>
      <c r="C89" s="4" t="s">
        <v>555</v>
      </c>
      <c r="D89" s="5">
        <v>130.16</v>
      </c>
      <c r="E89" s="4" t="s">
        <v>489</v>
      </c>
      <c r="F89" s="4" t="s">
        <v>801</v>
      </c>
      <c r="G89" s="4" t="s">
        <v>52</v>
      </c>
      <c r="H89" s="6">
        <v>46063.473611111112</v>
      </c>
    </row>
    <row r="90" spans="1:8" x14ac:dyDescent="0.25">
      <c r="A90" s="4" t="s">
        <v>553</v>
      </c>
      <c r="B90" s="4" t="s">
        <v>802</v>
      </c>
      <c r="C90" s="4" t="s">
        <v>555</v>
      </c>
      <c r="D90" s="5">
        <v>195.23</v>
      </c>
      <c r="E90" s="4" t="s">
        <v>484</v>
      </c>
      <c r="F90" s="4" t="s">
        <v>803</v>
      </c>
      <c r="G90" s="4" t="s">
        <v>158</v>
      </c>
      <c r="H90" s="6">
        <v>46067.422222222223</v>
      </c>
    </row>
    <row r="91" spans="1:8" x14ac:dyDescent="0.25">
      <c r="A91" s="4" t="s">
        <v>553</v>
      </c>
      <c r="B91" s="4" t="s">
        <v>804</v>
      </c>
      <c r="C91" s="4" t="s">
        <v>555</v>
      </c>
      <c r="D91" s="5">
        <v>130.16</v>
      </c>
      <c r="E91" s="4" t="s">
        <v>486</v>
      </c>
      <c r="F91" s="4" t="s">
        <v>805</v>
      </c>
      <c r="G91" s="4" t="s">
        <v>806</v>
      </c>
      <c r="H91" s="6">
        <v>46071.734027777777</v>
      </c>
    </row>
    <row r="92" spans="1:8" x14ac:dyDescent="0.25">
      <c r="A92" s="4" t="s">
        <v>559</v>
      </c>
      <c r="B92" s="4" t="s">
        <v>807</v>
      </c>
      <c r="C92" s="4" t="s">
        <v>555</v>
      </c>
      <c r="D92" s="5">
        <v>130.16</v>
      </c>
      <c r="E92" s="4" t="s">
        <v>412</v>
      </c>
      <c r="F92" s="4" t="s">
        <v>808</v>
      </c>
      <c r="G92" s="4" t="s">
        <v>614</v>
      </c>
      <c r="H92" s="6">
        <v>46079.765972222223</v>
      </c>
    </row>
    <row r="93" spans="1:8" x14ac:dyDescent="0.25">
      <c r="A93" s="4" t="s">
        <v>553</v>
      </c>
      <c r="B93" s="4" t="s">
        <v>809</v>
      </c>
      <c r="C93" s="4" t="s">
        <v>555</v>
      </c>
      <c r="D93" s="5">
        <v>130.16</v>
      </c>
      <c r="E93" s="4" t="s">
        <v>501</v>
      </c>
      <c r="F93" s="4" t="s">
        <v>810</v>
      </c>
      <c r="G93" s="4" t="s">
        <v>217</v>
      </c>
      <c r="H93" s="6">
        <v>46076.357638888891</v>
      </c>
    </row>
    <row r="94" spans="1:8" x14ac:dyDescent="0.25">
      <c r="A94" s="4" t="s">
        <v>592</v>
      </c>
      <c r="B94" s="4" t="s">
        <v>811</v>
      </c>
      <c r="C94" s="4" t="s">
        <v>555</v>
      </c>
      <c r="D94" s="5">
        <v>130.16</v>
      </c>
      <c r="E94" s="4" t="s">
        <v>366</v>
      </c>
      <c r="F94" s="4" t="s">
        <v>812</v>
      </c>
      <c r="G94" s="4" t="s">
        <v>52</v>
      </c>
      <c r="H94" s="6">
        <v>46083.599305555559</v>
      </c>
    </row>
    <row r="95" spans="1:8" x14ac:dyDescent="0.25">
      <c r="A95" s="4" t="s">
        <v>568</v>
      </c>
      <c r="B95" s="4" t="s">
        <v>239</v>
      </c>
      <c r="C95" s="4" t="s">
        <v>555</v>
      </c>
      <c r="D95" s="5">
        <v>130.16</v>
      </c>
      <c r="E95" s="4" t="s">
        <v>238</v>
      </c>
      <c r="F95" s="4" t="s">
        <v>813</v>
      </c>
      <c r="G95" s="4" t="s">
        <v>116</v>
      </c>
      <c r="H95" s="6">
        <v>46088.459027777775</v>
      </c>
    </row>
    <row r="96" spans="1:8" x14ac:dyDescent="0.25">
      <c r="A96" s="4" t="s">
        <v>565</v>
      </c>
      <c r="B96" s="4" t="s">
        <v>239</v>
      </c>
      <c r="C96" s="4" t="s">
        <v>555</v>
      </c>
      <c r="D96" s="5">
        <v>293.47000000000003</v>
      </c>
      <c r="E96" s="4" t="s">
        <v>238</v>
      </c>
      <c r="F96" s="4" t="s">
        <v>814</v>
      </c>
      <c r="G96" s="4" t="s">
        <v>116</v>
      </c>
      <c r="H96" s="6">
        <v>46089.540972222225</v>
      </c>
    </row>
    <row r="97" spans="1:8" x14ac:dyDescent="0.25">
      <c r="A97" s="4" t="s">
        <v>557</v>
      </c>
      <c r="B97" s="4" t="s">
        <v>67</v>
      </c>
      <c r="C97" s="4" t="s">
        <v>555</v>
      </c>
      <c r="D97" s="5">
        <v>293.47000000000003</v>
      </c>
      <c r="E97" s="4" t="s">
        <v>64</v>
      </c>
      <c r="F97" s="4" t="s">
        <v>815</v>
      </c>
      <c r="G97" s="4" t="s">
        <v>816</v>
      </c>
      <c r="H97" s="6">
        <v>46088.868750000001</v>
      </c>
    </row>
    <row r="98" spans="1:8" x14ac:dyDescent="0.25">
      <c r="A98" s="4" t="s">
        <v>592</v>
      </c>
      <c r="B98" s="4" t="s">
        <v>71</v>
      </c>
      <c r="C98" s="4" t="s">
        <v>555</v>
      </c>
      <c r="D98" s="5">
        <v>130.16</v>
      </c>
      <c r="E98" s="4" t="s">
        <v>68</v>
      </c>
      <c r="F98" s="4" t="s">
        <v>817</v>
      </c>
      <c r="G98" s="4" t="s">
        <v>69</v>
      </c>
      <c r="H98" s="6">
        <v>46084.855555555558</v>
      </c>
    </row>
    <row r="99" spans="1:8" x14ac:dyDescent="0.25">
      <c r="A99" s="4" t="s">
        <v>559</v>
      </c>
      <c r="B99" s="4" t="s">
        <v>125</v>
      </c>
      <c r="C99" s="4" t="s">
        <v>555</v>
      </c>
      <c r="D99" s="5">
        <v>130.16</v>
      </c>
      <c r="E99" s="4" t="s">
        <v>124</v>
      </c>
      <c r="F99" s="4" t="s">
        <v>818</v>
      </c>
      <c r="G99" s="4" t="s">
        <v>52</v>
      </c>
      <c r="H99" s="6">
        <v>46068.386805555558</v>
      </c>
    </row>
    <row r="100" spans="1:8" x14ac:dyDescent="0.25">
      <c r="A100" s="4" t="s">
        <v>553</v>
      </c>
      <c r="B100" s="4" t="s">
        <v>819</v>
      </c>
      <c r="C100" s="4" t="s">
        <v>555</v>
      </c>
      <c r="D100" s="5">
        <v>130.16</v>
      </c>
      <c r="E100" s="4" t="s">
        <v>173</v>
      </c>
      <c r="F100" s="4" t="s">
        <v>820</v>
      </c>
      <c r="G100" s="4" t="s">
        <v>52</v>
      </c>
      <c r="H100" s="6">
        <v>46066.636111111111</v>
      </c>
    </row>
    <row r="101" spans="1:8" x14ac:dyDescent="0.25">
      <c r="A101" s="4" t="s">
        <v>553</v>
      </c>
      <c r="B101" s="4" t="s">
        <v>133</v>
      </c>
      <c r="C101" s="4" t="s">
        <v>555</v>
      </c>
      <c r="D101" s="5">
        <v>195.23</v>
      </c>
      <c r="E101" s="4" t="s">
        <v>132</v>
      </c>
      <c r="F101" s="4" t="s">
        <v>821</v>
      </c>
      <c r="G101" s="4" t="s">
        <v>76</v>
      </c>
      <c r="H101" s="6">
        <v>46067.381249999999</v>
      </c>
    </row>
    <row r="102" spans="1:8" x14ac:dyDescent="0.25">
      <c r="A102" s="4" t="s">
        <v>553</v>
      </c>
      <c r="B102" s="4" t="s">
        <v>161</v>
      </c>
      <c r="C102" s="4" t="s">
        <v>555</v>
      </c>
      <c r="D102" s="5">
        <v>293.47000000000003</v>
      </c>
      <c r="E102" s="4" t="s">
        <v>160</v>
      </c>
      <c r="F102" s="4" t="s">
        <v>822</v>
      </c>
      <c r="G102" s="4" t="s">
        <v>158</v>
      </c>
      <c r="H102" s="6">
        <v>46058.635416666664</v>
      </c>
    </row>
    <row r="103" spans="1:8" x14ac:dyDescent="0.25">
      <c r="A103" s="4" t="s">
        <v>553</v>
      </c>
      <c r="B103" s="4" t="s">
        <v>823</v>
      </c>
      <c r="C103" s="4" t="s">
        <v>555</v>
      </c>
      <c r="D103" s="5">
        <v>293.47000000000003</v>
      </c>
      <c r="E103" s="4" t="s">
        <v>193</v>
      </c>
      <c r="F103" s="4" t="s">
        <v>824</v>
      </c>
      <c r="G103" s="4" t="s">
        <v>12</v>
      </c>
      <c r="H103" s="6">
        <v>46077.745138888888</v>
      </c>
    </row>
    <row r="104" spans="1:8" x14ac:dyDescent="0.25">
      <c r="A104" s="4" t="s">
        <v>592</v>
      </c>
      <c r="B104" s="4" t="s">
        <v>823</v>
      </c>
      <c r="C104" s="4" t="s">
        <v>555</v>
      </c>
      <c r="D104" s="5">
        <v>130.16</v>
      </c>
      <c r="E104" s="4" t="s">
        <v>193</v>
      </c>
      <c r="F104" s="4" t="s">
        <v>825</v>
      </c>
      <c r="G104" s="4" t="s">
        <v>12</v>
      </c>
      <c r="H104" s="6">
        <v>46078.612500000003</v>
      </c>
    </row>
    <row r="105" spans="1:8" x14ac:dyDescent="0.25">
      <c r="A105" s="4" t="s">
        <v>592</v>
      </c>
      <c r="B105" s="4" t="s">
        <v>823</v>
      </c>
      <c r="C105" s="4" t="s">
        <v>555</v>
      </c>
      <c r="D105" s="5">
        <v>293.47000000000003</v>
      </c>
      <c r="E105" s="4" t="s">
        <v>193</v>
      </c>
      <c r="F105" s="4" t="s">
        <v>826</v>
      </c>
      <c r="G105" s="4" t="s">
        <v>12</v>
      </c>
      <c r="H105" s="6">
        <v>46090.90625</v>
      </c>
    </row>
    <row r="106" spans="1:8" x14ac:dyDescent="0.25">
      <c r="A106" s="4" t="s">
        <v>568</v>
      </c>
      <c r="B106" s="4" t="s">
        <v>827</v>
      </c>
      <c r="C106" s="4" t="s">
        <v>555</v>
      </c>
      <c r="D106" s="5">
        <v>130.16</v>
      </c>
      <c r="E106" s="4" t="s">
        <v>137</v>
      </c>
      <c r="F106" s="4" t="s">
        <v>828</v>
      </c>
      <c r="G106" s="4" t="s">
        <v>12</v>
      </c>
      <c r="H106" s="6">
        <v>46079.603472222225</v>
      </c>
    </row>
    <row r="107" spans="1:8" x14ac:dyDescent="0.25">
      <c r="A107" s="4" t="s">
        <v>553</v>
      </c>
      <c r="B107" s="4" t="s">
        <v>167</v>
      </c>
      <c r="C107" s="4" t="s">
        <v>555</v>
      </c>
      <c r="D107" s="5">
        <v>195.23</v>
      </c>
      <c r="E107" s="4" t="s">
        <v>166</v>
      </c>
      <c r="F107" s="4" t="s">
        <v>829</v>
      </c>
      <c r="G107" s="4" t="s">
        <v>12</v>
      </c>
      <c r="H107" s="6">
        <v>46067.324305555558</v>
      </c>
    </row>
    <row r="108" spans="1:8" x14ac:dyDescent="0.25">
      <c r="A108" s="4" t="s">
        <v>592</v>
      </c>
      <c r="B108" s="4" t="s">
        <v>188</v>
      </c>
      <c r="C108" s="4" t="s">
        <v>555</v>
      </c>
      <c r="D108" s="5">
        <v>130.16</v>
      </c>
      <c r="E108" s="4" t="s">
        <v>187</v>
      </c>
      <c r="F108" s="4" t="s">
        <v>830</v>
      </c>
      <c r="G108" s="4" t="s">
        <v>12</v>
      </c>
      <c r="H108" s="6">
        <v>46063.31527777778</v>
      </c>
    </row>
    <row r="109" spans="1:8" x14ac:dyDescent="0.25">
      <c r="A109" s="4" t="s">
        <v>553</v>
      </c>
      <c r="B109" s="4" t="s">
        <v>45</v>
      </c>
      <c r="C109" s="4" t="s">
        <v>555</v>
      </c>
      <c r="D109" s="5">
        <v>130.16</v>
      </c>
      <c r="E109" s="4" t="s">
        <v>44</v>
      </c>
      <c r="F109" s="4" t="s">
        <v>831</v>
      </c>
      <c r="G109" s="4" t="s">
        <v>12</v>
      </c>
      <c r="H109" s="6">
        <v>46075.520138888889</v>
      </c>
    </row>
    <row r="110" spans="1:8" x14ac:dyDescent="0.25">
      <c r="A110" s="4" t="s">
        <v>565</v>
      </c>
      <c r="B110" s="4" t="s">
        <v>832</v>
      </c>
      <c r="C110" s="4" t="s">
        <v>555</v>
      </c>
      <c r="D110" s="5">
        <v>130.16</v>
      </c>
      <c r="E110" s="4" t="s">
        <v>244</v>
      </c>
      <c r="F110" s="4" t="s">
        <v>833</v>
      </c>
      <c r="G110" s="4" t="s">
        <v>12</v>
      </c>
      <c r="H110" s="6">
        <v>46083.375694444447</v>
      </c>
    </row>
    <row r="111" spans="1:8" x14ac:dyDescent="0.25">
      <c r="A111" s="4" t="s">
        <v>583</v>
      </c>
      <c r="B111" s="4" t="s">
        <v>834</v>
      </c>
      <c r="C111" s="4" t="s">
        <v>555</v>
      </c>
      <c r="D111" s="5">
        <v>195.23</v>
      </c>
      <c r="E111" s="4" t="s">
        <v>333</v>
      </c>
      <c r="F111" s="4" t="s">
        <v>835</v>
      </c>
      <c r="G111" s="4" t="s">
        <v>158</v>
      </c>
      <c r="H111" s="6">
        <v>46085.600694444445</v>
      </c>
    </row>
    <row r="112" spans="1:8" x14ac:dyDescent="0.25">
      <c r="A112" s="4" t="s">
        <v>553</v>
      </c>
      <c r="B112" s="4" t="s">
        <v>834</v>
      </c>
      <c r="C112" s="4" t="s">
        <v>555</v>
      </c>
      <c r="D112" s="5">
        <v>195.23</v>
      </c>
      <c r="E112" s="4" t="s">
        <v>333</v>
      </c>
      <c r="F112" s="4" t="s">
        <v>836</v>
      </c>
      <c r="G112" s="4" t="s">
        <v>158</v>
      </c>
      <c r="H112" s="6">
        <v>46078.515972222223</v>
      </c>
    </row>
    <row r="113" spans="1:8" x14ac:dyDescent="0.25">
      <c r="A113" s="4" t="s">
        <v>553</v>
      </c>
      <c r="B113" s="4" t="s">
        <v>837</v>
      </c>
      <c r="C113" s="4" t="s">
        <v>555</v>
      </c>
      <c r="D113" s="5">
        <v>293.47000000000003</v>
      </c>
      <c r="E113" s="4" t="s">
        <v>293</v>
      </c>
      <c r="F113" s="4" t="s">
        <v>838</v>
      </c>
      <c r="G113" s="4" t="s">
        <v>294</v>
      </c>
      <c r="H113" s="6">
        <v>46078.736111111109</v>
      </c>
    </row>
    <row r="114" spans="1:8" x14ac:dyDescent="0.25">
      <c r="A114" s="4" t="s">
        <v>559</v>
      </c>
      <c r="B114" s="4" t="s">
        <v>839</v>
      </c>
      <c r="C114" s="4" t="s">
        <v>555</v>
      </c>
      <c r="D114" s="5">
        <v>130.16</v>
      </c>
      <c r="E114" s="4" t="s">
        <v>205</v>
      </c>
      <c r="F114" s="4" t="s">
        <v>840</v>
      </c>
      <c r="G114" s="4" t="s">
        <v>33</v>
      </c>
      <c r="H114" s="6">
        <v>46087.430555555555</v>
      </c>
    </row>
    <row r="115" spans="1:8" x14ac:dyDescent="0.25">
      <c r="A115" s="4" t="s">
        <v>592</v>
      </c>
      <c r="B115" s="4" t="s">
        <v>841</v>
      </c>
      <c r="C115" s="4" t="s">
        <v>555</v>
      </c>
      <c r="D115" s="5">
        <v>130.16</v>
      </c>
      <c r="E115" s="4" t="s">
        <v>30</v>
      </c>
      <c r="F115" s="4" t="s">
        <v>842</v>
      </c>
      <c r="G115" s="4" t="s">
        <v>28</v>
      </c>
      <c r="H115" s="6">
        <v>46089.540972222225</v>
      </c>
    </row>
    <row r="116" spans="1:8" x14ac:dyDescent="0.25">
      <c r="A116" s="4" t="s">
        <v>592</v>
      </c>
      <c r="B116" s="4" t="s">
        <v>841</v>
      </c>
      <c r="C116" s="4" t="s">
        <v>555</v>
      </c>
      <c r="D116" s="5">
        <v>130.16</v>
      </c>
      <c r="E116" s="4" t="s">
        <v>30</v>
      </c>
      <c r="F116" s="4" t="s">
        <v>843</v>
      </c>
      <c r="G116" s="4" t="s">
        <v>28</v>
      </c>
      <c r="H116" s="6">
        <v>46089.542361111111</v>
      </c>
    </row>
    <row r="117" spans="1:8" x14ac:dyDescent="0.25">
      <c r="A117" s="4" t="s">
        <v>583</v>
      </c>
      <c r="B117" s="4" t="s">
        <v>844</v>
      </c>
      <c r="C117" s="4" t="s">
        <v>555</v>
      </c>
      <c r="D117" s="5">
        <v>88.38</v>
      </c>
      <c r="E117" s="4" t="s">
        <v>49</v>
      </c>
      <c r="F117" s="4" t="s">
        <v>845</v>
      </c>
      <c r="G117" s="4" t="s">
        <v>55</v>
      </c>
      <c r="H117" s="6">
        <v>46076.232638888891</v>
      </c>
    </row>
    <row r="118" spans="1:8" x14ac:dyDescent="0.25">
      <c r="A118" s="4" t="s">
        <v>583</v>
      </c>
      <c r="B118" s="4" t="s">
        <v>844</v>
      </c>
      <c r="C118" s="4" t="s">
        <v>555</v>
      </c>
      <c r="D118" s="5">
        <v>2934.7</v>
      </c>
      <c r="E118" s="4" t="s">
        <v>49</v>
      </c>
      <c r="F118" s="4" t="s">
        <v>846</v>
      </c>
      <c r="G118" s="4" t="s">
        <v>55</v>
      </c>
      <c r="H118" s="6">
        <v>46076.229166666664</v>
      </c>
    </row>
    <row r="119" spans="1:8" x14ac:dyDescent="0.25">
      <c r="A119" s="4" t="s">
        <v>553</v>
      </c>
      <c r="B119" s="4" t="s">
        <v>847</v>
      </c>
      <c r="C119" s="4" t="s">
        <v>555</v>
      </c>
      <c r="D119" s="5">
        <v>130.16</v>
      </c>
      <c r="E119" s="4" t="s">
        <v>342</v>
      </c>
      <c r="F119" s="4" t="s">
        <v>848</v>
      </c>
      <c r="G119" s="4" t="s">
        <v>217</v>
      </c>
      <c r="H119" s="6">
        <v>46074.872916666667</v>
      </c>
    </row>
    <row r="120" spans="1:8" x14ac:dyDescent="0.25">
      <c r="A120" s="4" t="s">
        <v>608</v>
      </c>
      <c r="B120" s="4" t="s">
        <v>849</v>
      </c>
      <c r="C120" s="4" t="s">
        <v>555</v>
      </c>
      <c r="D120" s="5">
        <v>293.47000000000003</v>
      </c>
      <c r="E120" s="4" t="s">
        <v>321</v>
      </c>
      <c r="F120" s="4" t="s">
        <v>850</v>
      </c>
      <c r="G120" s="4" t="s">
        <v>158</v>
      </c>
      <c r="H120" s="6">
        <v>46084.285416666666</v>
      </c>
    </row>
    <row r="121" spans="1:8" x14ac:dyDescent="0.25">
      <c r="A121" s="4" t="s">
        <v>581</v>
      </c>
      <c r="B121" s="4" t="s">
        <v>849</v>
      </c>
      <c r="C121" s="4" t="s">
        <v>555</v>
      </c>
      <c r="D121" s="5">
        <v>130.16</v>
      </c>
      <c r="E121" s="4" t="s">
        <v>321</v>
      </c>
      <c r="F121" s="4" t="s">
        <v>851</v>
      </c>
      <c r="G121" s="4" t="s">
        <v>158</v>
      </c>
      <c r="H121" s="6">
        <v>46085.854166666664</v>
      </c>
    </row>
    <row r="122" spans="1:8" x14ac:dyDescent="0.25">
      <c r="A122" s="4" t="s">
        <v>559</v>
      </c>
      <c r="B122" s="4" t="s">
        <v>852</v>
      </c>
      <c r="C122" s="4" t="s">
        <v>555</v>
      </c>
      <c r="D122" s="5">
        <v>130.16</v>
      </c>
      <c r="E122" s="4" t="s">
        <v>108</v>
      </c>
      <c r="F122" s="4" t="s">
        <v>853</v>
      </c>
      <c r="G122" s="4" t="s">
        <v>55</v>
      </c>
      <c r="H122" s="6">
        <v>46072.463194444441</v>
      </c>
    </row>
    <row r="123" spans="1:8" x14ac:dyDescent="0.25">
      <c r="A123" s="4" t="s">
        <v>553</v>
      </c>
      <c r="B123" s="4" t="s">
        <v>593</v>
      </c>
      <c r="C123" s="4" t="s">
        <v>555</v>
      </c>
      <c r="D123" s="5">
        <v>130.16</v>
      </c>
      <c r="E123" s="4" t="s">
        <v>432</v>
      </c>
      <c r="F123" s="4" t="s">
        <v>854</v>
      </c>
      <c r="G123" s="4" t="s">
        <v>55</v>
      </c>
      <c r="H123" s="6">
        <v>46080.9375</v>
      </c>
    </row>
    <row r="124" spans="1:8" x14ac:dyDescent="0.25">
      <c r="A124" s="4" t="s">
        <v>553</v>
      </c>
      <c r="B124" s="4" t="s">
        <v>593</v>
      </c>
      <c r="C124" s="4" t="s">
        <v>555</v>
      </c>
      <c r="D124" s="5">
        <v>130.16</v>
      </c>
      <c r="E124" s="4" t="s">
        <v>432</v>
      </c>
      <c r="F124" s="4" t="s">
        <v>855</v>
      </c>
      <c r="G124" s="4" t="s">
        <v>55</v>
      </c>
      <c r="H124" s="6">
        <v>46074.019444444442</v>
      </c>
    </row>
    <row r="125" spans="1:8" x14ac:dyDescent="0.25">
      <c r="A125" s="4" t="s">
        <v>553</v>
      </c>
      <c r="B125" s="4" t="s">
        <v>143</v>
      </c>
      <c r="C125" s="4" t="s">
        <v>555</v>
      </c>
      <c r="D125" s="5">
        <v>293.47000000000003</v>
      </c>
      <c r="E125" s="4" t="s">
        <v>142</v>
      </c>
      <c r="F125" s="4" t="s">
        <v>856</v>
      </c>
      <c r="G125" s="4" t="s">
        <v>55</v>
      </c>
      <c r="H125" s="6">
        <v>46079.472222222219</v>
      </c>
    </row>
    <row r="126" spans="1:8" x14ac:dyDescent="0.25">
      <c r="A126" s="4" t="s">
        <v>857</v>
      </c>
      <c r="B126" s="4" t="s">
        <v>858</v>
      </c>
      <c r="C126" s="4" t="s">
        <v>555</v>
      </c>
      <c r="D126" s="5">
        <v>195.23</v>
      </c>
      <c r="E126" s="4" t="s">
        <v>305</v>
      </c>
      <c r="F126" s="4" t="s">
        <v>859</v>
      </c>
      <c r="G126" s="4" t="s">
        <v>41</v>
      </c>
      <c r="H126" s="6">
        <v>46090.329861111109</v>
      </c>
    </row>
    <row r="127" spans="1:8" x14ac:dyDescent="0.25">
      <c r="A127" s="4" t="s">
        <v>592</v>
      </c>
      <c r="B127" s="4" t="s">
        <v>306</v>
      </c>
      <c r="C127" s="4" t="s">
        <v>555</v>
      </c>
      <c r="D127" s="5">
        <v>293.47000000000003</v>
      </c>
      <c r="E127" s="4" t="s">
        <v>305</v>
      </c>
      <c r="F127" s="4" t="s">
        <v>860</v>
      </c>
      <c r="G127" s="4" t="s">
        <v>41</v>
      </c>
      <c r="H127" s="6">
        <v>46072.582638888889</v>
      </c>
    </row>
    <row r="128" spans="1:8" x14ac:dyDescent="0.25">
      <c r="A128" s="4" t="s">
        <v>592</v>
      </c>
      <c r="B128" s="4" t="s">
        <v>241</v>
      </c>
      <c r="C128" s="4" t="s">
        <v>555</v>
      </c>
      <c r="D128" s="5">
        <v>130.16</v>
      </c>
      <c r="E128" s="4" t="s">
        <v>240</v>
      </c>
      <c r="F128" s="4" t="s">
        <v>861</v>
      </c>
      <c r="G128" s="4" t="s">
        <v>158</v>
      </c>
      <c r="H128" s="6">
        <v>46078.55972222222</v>
      </c>
    </row>
    <row r="129" spans="1:8" x14ac:dyDescent="0.25">
      <c r="A129" s="4" t="s">
        <v>592</v>
      </c>
      <c r="B129" s="4" t="s">
        <v>862</v>
      </c>
      <c r="C129" s="4" t="s">
        <v>555</v>
      </c>
      <c r="D129" s="5">
        <v>130.16</v>
      </c>
      <c r="E129" s="4" t="s">
        <v>713</v>
      </c>
      <c r="F129" s="4" t="s">
        <v>863</v>
      </c>
      <c r="G129" s="4" t="s">
        <v>12</v>
      </c>
      <c r="H129" s="6">
        <v>46086.049305555556</v>
      </c>
    </row>
    <row r="130" spans="1:8" x14ac:dyDescent="0.25">
      <c r="A130" s="4" t="s">
        <v>565</v>
      </c>
      <c r="B130" s="4" t="s">
        <v>864</v>
      </c>
      <c r="C130" s="4" t="s">
        <v>555</v>
      </c>
      <c r="D130" s="5">
        <v>293.47000000000003</v>
      </c>
      <c r="E130" s="4" t="s">
        <v>710</v>
      </c>
      <c r="F130" s="4" t="s">
        <v>865</v>
      </c>
      <c r="G130" s="4" t="s">
        <v>52</v>
      </c>
      <c r="H130" s="6">
        <v>46079.916666666664</v>
      </c>
    </row>
    <row r="131" spans="1:8" x14ac:dyDescent="0.25">
      <c r="A131" s="4" t="s">
        <v>559</v>
      </c>
      <c r="B131" s="4" t="s">
        <v>866</v>
      </c>
      <c r="C131" s="4" t="s">
        <v>555</v>
      </c>
      <c r="D131" s="5">
        <v>130.16</v>
      </c>
      <c r="E131" s="4" t="s">
        <v>710</v>
      </c>
      <c r="F131" s="4" t="s">
        <v>867</v>
      </c>
      <c r="G131" s="4" t="s">
        <v>52</v>
      </c>
      <c r="H131" s="6">
        <v>46070.329861111109</v>
      </c>
    </row>
    <row r="132" spans="1:8" x14ac:dyDescent="0.25">
      <c r="A132" s="4" t="s">
        <v>553</v>
      </c>
      <c r="B132" s="4" t="s">
        <v>754</v>
      </c>
      <c r="C132" s="4" t="s">
        <v>555</v>
      </c>
      <c r="D132" s="5">
        <v>195.23</v>
      </c>
      <c r="E132" s="4" t="s">
        <v>121</v>
      </c>
      <c r="F132" s="4" t="s">
        <v>868</v>
      </c>
      <c r="G132" s="4" t="s">
        <v>52</v>
      </c>
      <c r="H132" s="6">
        <v>46067.344444444447</v>
      </c>
    </row>
    <row r="133" spans="1:8" x14ac:dyDescent="0.25">
      <c r="A133" s="4" t="s">
        <v>559</v>
      </c>
      <c r="B133" s="4" t="s">
        <v>869</v>
      </c>
      <c r="C133" s="4" t="s">
        <v>555</v>
      </c>
      <c r="D133" s="5">
        <v>130.16</v>
      </c>
      <c r="E133" s="4" t="s">
        <v>386</v>
      </c>
      <c r="F133" s="4" t="s">
        <v>870</v>
      </c>
      <c r="G133" s="4" t="s">
        <v>387</v>
      </c>
      <c r="H133" s="6">
        <v>46077.95416666667</v>
      </c>
    </row>
    <row r="134" spans="1:8" x14ac:dyDescent="0.25">
      <c r="A134" s="4" t="s">
        <v>871</v>
      </c>
      <c r="B134" s="4" t="s">
        <v>872</v>
      </c>
      <c r="C134" s="4" t="s">
        <v>555</v>
      </c>
      <c r="D134" s="5">
        <v>195.23</v>
      </c>
      <c r="E134" s="4" t="s">
        <v>446</v>
      </c>
      <c r="F134" s="4" t="s">
        <v>873</v>
      </c>
      <c r="G134" s="4" t="s">
        <v>447</v>
      </c>
      <c r="H134" s="6">
        <v>46085.65347222222</v>
      </c>
    </row>
    <row r="135" spans="1:8" x14ac:dyDescent="0.25">
      <c r="A135" s="4" t="s">
        <v>592</v>
      </c>
      <c r="B135" s="4" t="s">
        <v>631</v>
      </c>
      <c r="C135" s="4" t="s">
        <v>555</v>
      </c>
      <c r="D135" s="5">
        <v>130.16</v>
      </c>
      <c r="E135" s="4" t="s">
        <v>449</v>
      </c>
      <c r="F135" s="4" t="s">
        <v>874</v>
      </c>
      <c r="G135" s="4" t="s">
        <v>217</v>
      </c>
      <c r="H135" s="6">
        <v>46065.806250000001</v>
      </c>
    </row>
    <row r="136" spans="1:8" x14ac:dyDescent="0.25">
      <c r="A136" s="4" t="s">
        <v>875</v>
      </c>
      <c r="B136" s="4" t="s">
        <v>876</v>
      </c>
      <c r="C136" s="4" t="s">
        <v>555</v>
      </c>
      <c r="D136" s="5">
        <v>195.23</v>
      </c>
      <c r="E136" s="4" t="s">
        <v>702</v>
      </c>
      <c r="F136" s="4" t="s">
        <v>877</v>
      </c>
      <c r="G136" s="4" t="s">
        <v>55</v>
      </c>
      <c r="H136" s="6">
        <v>46093.704861111109</v>
      </c>
    </row>
    <row r="137" spans="1:8" x14ac:dyDescent="0.25">
      <c r="A137" s="4" t="s">
        <v>553</v>
      </c>
      <c r="B137" s="4" t="s">
        <v>161</v>
      </c>
      <c r="C137" s="4" t="s">
        <v>555</v>
      </c>
      <c r="D137" s="5">
        <v>293.47000000000003</v>
      </c>
      <c r="E137" s="4" t="s">
        <v>160</v>
      </c>
      <c r="F137" s="4" t="s">
        <v>878</v>
      </c>
      <c r="G137" s="4" t="s">
        <v>158</v>
      </c>
      <c r="H137" s="6">
        <v>45996.633333333331</v>
      </c>
    </row>
    <row r="138" spans="1:8" x14ac:dyDescent="0.25">
      <c r="A138" s="4" t="s">
        <v>553</v>
      </c>
      <c r="B138" s="4" t="s">
        <v>161</v>
      </c>
      <c r="C138" s="4" t="s">
        <v>555</v>
      </c>
      <c r="D138" s="5">
        <v>293.47000000000003</v>
      </c>
      <c r="E138" s="4" t="s">
        <v>160</v>
      </c>
      <c r="F138" s="4" t="s">
        <v>822</v>
      </c>
      <c r="G138" s="4" t="s">
        <v>158</v>
      </c>
      <c r="H138" s="6">
        <v>45996.633333333331</v>
      </c>
    </row>
    <row r="139" spans="1:8" x14ac:dyDescent="0.25">
      <c r="A139" s="46" t="s">
        <v>559</v>
      </c>
      <c r="B139" s="46" t="s">
        <v>879</v>
      </c>
      <c r="C139" s="46" t="s">
        <v>555</v>
      </c>
      <c r="D139" s="47">
        <v>195.23</v>
      </c>
      <c r="E139" s="46" t="s">
        <v>153</v>
      </c>
      <c r="F139" s="46" t="s">
        <v>880</v>
      </c>
      <c r="G139" s="46" t="s">
        <v>217</v>
      </c>
      <c r="H139" s="48">
        <v>46083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E36EF-D48B-48A9-B7B7-86A83F871717}">
  <dimension ref="A1:Z995"/>
  <sheetViews>
    <sheetView workbookViewId="0"/>
  </sheetViews>
  <sheetFormatPr defaultColWidth="14.42578125" defaultRowHeight="15" x14ac:dyDescent="0.25"/>
  <cols>
    <col min="1" max="1" width="24.42578125" style="30" customWidth="1"/>
    <col min="2" max="2" width="19.85546875" customWidth="1"/>
    <col min="3" max="3" width="20.28515625" customWidth="1"/>
    <col min="4" max="4" width="20.42578125" customWidth="1"/>
    <col min="5" max="5" width="15" customWidth="1"/>
    <col min="6" max="6" width="9.140625" customWidth="1"/>
    <col min="7" max="26" width="8.7109375" customWidth="1"/>
  </cols>
  <sheetData>
    <row r="1" spans="1:26" x14ac:dyDescent="0.25">
      <c r="A1" s="7" t="s">
        <v>642</v>
      </c>
      <c r="B1" s="7" t="s">
        <v>643</v>
      </c>
      <c r="C1" s="7" t="s">
        <v>644</v>
      </c>
      <c r="D1" s="7" t="s">
        <v>645</v>
      </c>
      <c r="E1" s="7" t="s">
        <v>646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ht="19.5" customHeight="1" x14ac:dyDescent="0.25">
      <c r="A2" s="9" t="s">
        <v>647</v>
      </c>
      <c r="B2" s="10">
        <v>45990</v>
      </c>
      <c r="C2" s="10">
        <v>46056</v>
      </c>
      <c r="D2" s="11">
        <v>293.47000000000003</v>
      </c>
      <c r="E2" s="12" t="s">
        <v>648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ht="22.5" customHeight="1" x14ac:dyDescent="0.25">
      <c r="A3" s="13" t="s">
        <v>649</v>
      </c>
      <c r="B3" s="14">
        <v>46020</v>
      </c>
      <c r="C3" s="14">
        <v>46062</v>
      </c>
      <c r="D3" s="15">
        <v>130.16</v>
      </c>
      <c r="E3" s="16" t="s">
        <v>650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13" t="s">
        <v>651</v>
      </c>
      <c r="B4" s="17">
        <v>46022</v>
      </c>
      <c r="C4" s="17">
        <v>46065</v>
      </c>
      <c r="D4" s="18">
        <v>1467.35</v>
      </c>
      <c r="E4" s="12" t="s">
        <v>648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13" t="s">
        <v>652</v>
      </c>
      <c r="B5" s="17">
        <v>46056</v>
      </c>
      <c r="C5" s="17">
        <v>46078</v>
      </c>
      <c r="D5" s="18">
        <v>130.16</v>
      </c>
      <c r="E5" s="12" t="s">
        <v>648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25">
      <c r="A6" s="13"/>
      <c r="B6" s="17"/>
      <c r="C6" s="17"/>
      <c r="D6" s="19">
        <f>SUM(D2:D5)</f>
        <v>2021.14</v>
      </c>
      <c r="E6" s="12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25">
      <c r="A7" s="12"/>
      <c r="B7" s="12"/>
      <c r="C7" s="12"/>
      <c r="D7" s="12"/>
      <c r="E7" s="12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25">
      <c r="A8" s="20" t="s">
        <v>653</v>
      </c>
      <c r="B8" s="8"/>
      <c r="C8" s="8"/>
      <c r="D8" s="12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25">
      <c r="A9" s="12" t="s">
        <v>654</v>
      </c>
      <c r="B9" s="17">
        <v>45930</v>
      </c>
      <c r="C9" s="17">
        <v>46078</v>
      </c>
      <c r="D9" s="18">
        <v>234.77</v>
      </c>
      <c r="E9" s="12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25">
      <c r="A10" s="12" t="s">
        <v>655</v>
      </c>
      <c r="B10" s="17">
        <v>45933</v>
      </c>
      <c r="C10" s="17">
        <v>46078</v>
      </c>
      <c r="D10" s="18">
        <v>234.77</v>
      </c>
      <c r="E10" s="21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25">
      <c r="A11" s="22"/>
      <c r="B11" s="23"/>
      <c r="C11" s="23"/>
      <c r="D11" s="24">
        <f>SUM(D9:D10)</f>
        <v>469.54</v>
      </c>
      <c r="E11" s="12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25">
      <c r="A12" s="12"/>
      <c r="B12" s="17"/>
      <c r="C12" s="12"/>
      <c r="D12" s="1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25">
      <c r="A13" s="12"/>
      <c r="B13" s="17"/>
      <c r="C13" s="12"/>
      <c r="D13" s="1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ht="15.75" customHeight="1" x14ac:dyDescent="0.25">
      <c r="A14" s="12"/>
      <c r="B14" s="25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ht="15.75" customHeight="1" x14ac:dyDescent="0.25">
      <c r="A15" s="12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ht="15.75" customHeight="1" x14ac:dyDescent="0.25">
      <c r="A16" s="12"/>
      <c r="B16" s="12"/>
      <c r="C16" s="12"/>
      <c r="D16" s="12"/>
      <c r="E16" s="12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ht="15.75" customHeight="1" x14ac:dyDescent="0.25">
      <c r="A17" s="21"/>
      <c r="B17" s="21"/>
      <c r="C17" s="21"/>
      <c r="D17" s="21"/>
      <c r="E17" s="21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ht="15.75" customHeight="1" x14ac:dyDescent="0.25">
      <c r="A18" s="22"/>
      <c r="B18" s="23"/>
      <c r="C18" s="23"/>
      <c r="D18" s="26"/>
      <c r="E18" s="12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ht="15.75" customHeight="1" x14ac:dyDescent="0.25">
      <c r="A19" s="1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ht="15.75" customHeight="1" x14ac:dyDescent="0.25">
      <c r="A20" s="1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ht="15.75" customHeight="1" x14ac:dyDescent="0.25">
      <c r="A21" s="12"/>
      <c r="B21" s="12"/>
      <c r="C21" s="12"/>
      <c r="D21" s="12"/>
      <c r="E21" s="12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ht="15.75" customHeight="1" x14ac:dyDescent="0.25">
      <c r="A22" s="21"/>
      <c r="B22" s="21"/>
      <c r="C22" s="21"/>
      <c r="D22" s="21"/>
      <c r="E22" s="21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ht="15.75" customHeight="1" x14ac:dyDescent="0.25">
      <c r="A23" s="22"/>
      <c r="B23" s="23"/>
      <c r="C23" s="23"/>
      <c r="D23" s="26"/>
      <c r="E23" s="12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ht="15.75" customHeight="1" x14ac:dyDescent="0.25">
      <c r="A24" s="22"/>
      <c r="B24" s="23"/>
      <c r="C24" s="23"/>
      <c r="D24" s="27"/>
      <c r="E24" s="12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ht="15.75" customHeight="1" x14ac:dyDescent="0.25">
      <c r="A25" s="22"/>
      <c r="B25" s="23"/>
      <c r="C25" s="28"/>
      <c r="D25" s="27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ht="15.75" customHeight="1" x14ac:dyDescent="0.25">
      <c r="A26" s="12"/>
      <c r="B26" s="8"/>
      <c r="C26" s="8"/>
      <c r="D26" s="29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ht="15.75" customHeight="1" x14ac:dyDescent="0.25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ht="15.75" customHeight="1" x14ac:dyDescent="0.25">
      <c r="A28" s="12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ht="15.75" customHeight="1" x14ac:dyDescent="0.25">
      <c r="A29" s="12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ht="15.75" customHeight="1" x14ac:dyDescent="0.25">
      <c r="A30" s="12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ht="15.75" customHeight="1" x14ac:dyDescent="0.25">
      <c r="A31" s="12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ht="15.75" customHeight="1" x14ac:dyDescent="0.25">
      <c r="A32" s="12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ht="15.75" customHeight="1" x14ac:dyDescent="0.25">
      <c r="A33" s="12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ht="15.75" customHeight="1" x14ac:dyDescent="0.25">
      <c r="A34" s="12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ht="15.75" customHeight="1" x14ac:dyDescent="0.25">
      <c r="A35" s="12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ht="15.75" customHeight="1" x14ac:dyDescent="0.25">
      <c r="A36" s="12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ht="15.75" customHeight="1" x14ac:dyDescent="0.25">
      <c r="A37" s="12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ht="15.75" customHeight="1" x14ac:dyDescent="0.25">
      <c r="A38" s="12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ht="15.75" customHeight="1" x14ac:dyDescent="0.25">
      <c r="A39" s="12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ht="15.75" customHeight="1" x14ac:dyDescent="0.25">
      <c r="A40" s="12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1:26" ht="15.75" customHeight="1" x14ac:dyDescent="0.25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 ht="15.75" customHeight="1" x14ac:dyDescent="0.25">
      <c r="A42" s="12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 ht="15.75" customHeight="1" x14ac:dyDescent="0.25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 ht="15.75" customHeight="1" x14ac:dyDescent="0.25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 ht="15.75" customHeight="1" x14ac:dyDescent="0.25">
      <c r="A45" s="12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 ht="15.75" customHeight="1" x14ac:dyDescent="0.25">
      <c r="A46" s="12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 ht="15.75" customHeight="1" x14ac:dyDescent="0.25">
      <c r="A47" s="12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 ht="15.75" customHeight="1" x14ac:dyDescent="0.25">
      <c r="A48" s="12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 ht="15.75" customHeight="1" x14ac:dyDescent="0.25">
      <c r="A49" s="12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 ht="15.75" customHeight="1" x14ac:dyDescent="0.25">
      <c r="A50" s="12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 ht="15.75" customHeight="1" x14ac:dyDescent="0.25">
      <c r="A51" s="12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 ht="15.75" customHeight="1" x14ac:dyDescent="0.25">
      <c r="A52" s="12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 ht="15.75" customHeight="1" x14ac:dyDescent="0.25">
      <c r="A53" s="12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 ht="15.75" customHeight="1" x14ac:dyDescent="0.25">
      <c r="A54" s="12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 ht="15.75" customHeight="1" x14ac:dyDescent="0.25">
      <c r="A55" s="12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 ht="15.75" customHeight="1" x14ac:dyDescent="0.25">
      <c r="A56" s="12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 ht="15.75" customHeight="1" x14ac:dyDescent="0.25">
      <c r="A57" s="12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 ht="15.75" customHeight="1" x14ac:dyDescent="0.25">
      <c r="A58" s="1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 ht="15.75" customHeight="1" x14ac:dyDescent="0.25">
      <c r="A59" s="1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 ht="15.75" customHeight="1" x14ac:dyDescent="0.25">
      <c r="A60" s="1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 ht="15.75" customHeight="1" x14ac:dyDescent="0.25">
      <c r="A61" s="1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 ht="15.75" customHeight="1" x14ac:dyDescent="0.25">
      <c r="A62" s="12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 ht="15.75" customHeight="1" x14ac:dyDescent="0.25">
      <c r="A63" s="12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 ht="15.75" customHeight="1" x14ac:dyDescent="0.25">
      <c r="A64" s="12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 ht="15.75" customHeight="1" x14ac:dyDescent="0.25">
      <c r="A65" s="12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 ht="15.75" customHeight="1" x14ac:dyDescent="0.25">
      <c r="A66" s="12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 ht="15.75" customHeight="1" x14ac:dyDescent="0.25">
      <c r="A67" s="12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 ht="15.75" customHeight="1" x14ac:dyDescent="0.25">
      <c r="A68" s="12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 ht="15.75" customHeight="1" x14ac:dyDescent="0.25">
      <c r="A69" s="12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 ht="15.75" customHeight="1" x14ac:dyDescent="0.25">
      <c r="A70" s="12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 ht="15.75" customHeight="1" x14ac:dyDescent="0.25">
      <c r="A71" s="12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 ht="15.75" customHeight="1" x14ac:dyDescent="0.25">
      <c r="A72" s="12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 ht="15.75" customHeight="1" x14ac:dyDescent="0.25">
      <c r="A73" s="12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 ht="15.75" customHeight="1" x14ac:dyDescent="0.25">
      <c r="A74" s="12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 ht="15.75" customHeight="1" x14ac:dyDescent="0.25">
      <c r="A75" s="12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 ht="15.75" customHeight="1" x14ac:dyDescent="0.25">
      <c r="A76" s="12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 ht="15.75" customHeight="1" x14ac:dyDescent="0.25">
      <c r="A77" s="12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 ht="15.75" customHeight="1" x14ac:dyDescent="0.25">
      <c r="A78" s="12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 ht="15.75" customHeight="1" x14ac:dyDescent="0.25">
      <c r="A79" s="12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 ht="15.75" customHeight="1" x14ac:dyDescent="0.25">
      <c r="A80" s="12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 ht="15.75" customHeight="1" x14ac:dyDescent="0.25">
      <c r="A81" s="12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 ht="15.75" customHeight="1" x14ac:dyDescent="0.25">
      <c r="A82" s="12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 ht="15.75" customHeight="1" x14ac:dyDescent="0.25">
      <c r="A83" s="12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 ht="15.75" customHeight="1" x14ac:dyDescent="0.25">
      <c r="A84" s="12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 ht="15.75" customHeight="1" x14ac:dyDescent="0.25">
      <c r="A85" s="12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 ht="15.75" customHeight="1" x14ac:dyDescent="0.25">
      <c r="A86" s="12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 ht="15.75" customHeight="1" x14ac:dyDescent="0.25">
      <c r="A87" s="12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 ht="15.75" customHeight="1" x14ac:dyDescent="0.25">
      <c r="A88" s="12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 ht="15.75" customHeight="1" x14ac:dyDescent="0.25">
      <c r="A89" s="12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 ht="15.75" customHeight="1" x14ac:dyDescent="0.25">
      <c r="A90" s="12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 ht="15.75" customHeight="1" x14ac:dyDescent="0.25">
      <c r="A91" s="12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 ht="15.75" customHeight="1" x14ac:dyDescent="0.25">
      <c r="A92" s="12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 ht="15.75" customHeight="1" x14ac:dyDescent="0.25">
      <c r="A93" s="12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 ht="15.75" customHeight="1" x14ac:dyDescent="0.25">
      <c r="A94" s="12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 ht="15.75" customHeight="1" x14ac:dyDescent="0.25">
      <c r="A95" s="12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 ht="15.75" customHeight="1" x14ac:dyDescent="0.25">
      <c r="A96" s="12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 ht="15.75" customHeight="1" x14ac:dyDescent="0.25">
      <c r="A97" s="12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 ht="15.75" customHeight="1" x14ac:dyDescent="0.25">
      <c r="A98" s="12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 ht="15.75" customHeight="1" x14ac:dyDescent="0.25">
      <c r="A99" s="12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 ht="15.75" customHeight="1" x14ac:dyDescent="0.25">
      <c r="A100" s="12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1:26" ht="15.75" customHeight="1" x14ac:dyDescent="0.25">
      <c r="A101" s="12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1:26" ht="15.75" customHeight="1" x14ac:dyDescent="0.25">
      <c r="A102" s="12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1:26" ht="15.75" customHeight="1" x14ac:dyDescent="0.25">
      <c r="A103" s="12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1:26" ht="15.75" customHeight="1" x14ac:dyDescent="0.25">
      <c r="A104" s="12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1:26" ht="15.75" customHeight="1" x14ac:dyDescent="0.25">
      <c r="A105" s="12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1:26" ht="15.75" customHeight="1" x14ac:dyDescent="0.25">
      <c r="A106" s="12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1:26" ht="15.75" customHeight="1" x14ac:dyDescent="0.25">
      <c r="A107" s="12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1:26" ht="15.75" customHeight="1" x14ac:dyDescent="0.25">
      <c r="A108" s="12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1:26" ht="15.75" customHeight="1" x14ac:dyDescent="0.25">
      <c r="A109" s="12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1:26" ht="15.75" customHeight="1" x14ac:dyDescent="0.25">
      <c r="A110" s="12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1:26" ht="15.75" customHeight="1" x14ac:dyDescent="0.25">
      <c r="A111" s="12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1:26" ht="15.75" customHeight="1" x14ac:dyDescent="0.25">
      <c r="A112" s="12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1:26" ht="15.75" customHeight="1" x14ac:dyDescent="0.25">
      <c r="A113" s="12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1:26" ht="15.75" customHeight="1" x14ac:dyDescent="0.25">
      <c r="A114" s="12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1:26" ht="15.75" customHeight="1" x14ac:dyDescent="0.25">
      <c r="A115" s="12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1:26" ht="15.75" customHeight="1" x14ac:dyDescent="0.25">
      <c r="A116" s="12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1:26" ht="15.75" customHeight="1" x14ac:dyDescent="0.25">
      <c r="A117" s="12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1:26" ht="15.75" customHeight="1" x14ac:dyDescent="0.25">
      <c r="A118" s="12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1:26" ht="15.75" customHeight="1" x14ac:dyDescent="0.25">
      <c r="A119" s="12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1:26" ht="15.75" customHeight="1" x14ac:dyDescent="0.25">
      <c r="A120" s="12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1:26" ht="15.75" customHeight="1" x14ac:dyDescent="0.25">
      <c r="A121" s="12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1:26" ht="15.75" customHeight="1" x14ac:dyDescent="0.25">
      <c r="A122" s="12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1:26" ht="15.75" customHeight="1" x14ac:dyDescent="0.25">
      <c r="A123" s="12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1:26" ht="15.75" customHeight="1" x14ac:dyDescent="0.25">
      <c r="A124" s="12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1:26" ht="15.75" customHeight="1" x14ac:dyDescent="0.25">
      <c r="A125" s="12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1:26" ht="15.75" customHeight="1" x14ac:dyDescent="0.25">
      <c r="A126" s="12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1:26" ht="15.75" customHeight="1" x14ac:dyDescent="0.25">
      <c r="A127" s="12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1:26" ht="15.75" customHeight="1" x14ac:dyDescent="0.25">
      <c r="A128" s="12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1:26" ht="15.75" customHeight="1" x14ac:dyDescent="0.25">
      <c r="A129" s="12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1:26" ht="15.75" customHeight="1" x14ac:dyDescent="0.25">
      <c r="A130" s="12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1:26" ht="15.75" customHeight="1" x14ac:dyDescent="0.25">
      <c r="A131" s="12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1:26" ht="15.75" customHeight="1" x14ac:dyDescent="0.25">
      <c r="A132" s="12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1:26" ht="15.75" customHeight="1" x14ac:dyDescent="0.25">
      <c r="A133" s="12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1:26" ht="15.75" customHeight="1" x14ac:dyDescent="0.25">
      <c r="A134" s="12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1:26" ht="15.75" customHeight="1" x14ac:dyDescent="0.25">
      <c r="A135" s="12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1:26" ht="15.75" customHeight="1" x14ac:dyDescent="0.25">
      <c r="A136" s="12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1:26" ht="15.75" customHeight="1" x14ac:dyDescent="0.25">
      <c r="A137" s="12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1:26" ht="15.75" customHeight="1" x14ac:dyDescent="0.25">
      <c r="A138" s="12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1:26" ht="15.75" customHeight="1" x14ac:dyDescent="0.25">
      <c r="A139" s="12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1:26" ht="15.75" customHeight="1" x14ac:dyDescent="0.25">
      <c r="A140" s="12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1:26" ht="15.75" customHeight="1" x14ac:dyDescent="0.25">
      <c r="A141" s="12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1:26" ht="15.75" customHeight="1" x14ac:dyDescent="0.25">
      <c r="A142" s="12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1:26" ht="15.75" customHeight="1" x14ac:dyDescent="0.25">
      <c r="A143" s="12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1:26" ht="15.75" customHeight="1" x14ac:dyDescent="0.25">
      <c r="A144" s="12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1:26" ht="15.75" customHeight="1" x14ac:dyDescent="0.25">
      <c r="A145" s="12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ht="15.75" customHeight="1" x14ac:dyDescent="0.25">
      <c r="A146" s="12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ht="15.75" customHeight="1" x14ac:dyDescent="0.25">
      <c r="A147" s="12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ht="15.75" customHeight="1" x14ac:dyDescent="0.25">
      <c r="A148" s="12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ht="15.75" customHeight="1" x14ac:dyDescent="0.25">
      <c r="A149" s="12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ht="15.75" customHeight="1" x14ac:dyDescent="0.25">
      <c r="A150" s="12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ht="15.75" customHeight="1" x14ac:dyDescent="0.25">
      <c r="A151" s="12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ht="15.75" customHeight="1" x14ac:dyDescent="0.25">
      <c r="A152" s="12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ht="15.75" customHeight="1" x14ac:dyDescent="0.25">
      <c r="A153" s="12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ht="15.75" customHeight="1" x14ac:dyDescent="0.25">
      <c r="A154" s="12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ht="15.75" customHeight="1" x14ac:dyDescent="0.25">
      <c r="A155" s="12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ht="15.75" customHeight="1" x14ac:dyDescent="0.25">
      <c r="A156" s="12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ht="15.75" customHeight="1" x14ac:dyDescent="0.25">
      <c r="A157" s="12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ht="15.75" customHeight="1" x14ac:dyDescent="0.25">
      <c r="A158" s="12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ht="15.75" customHeight="1" x14ac:dyDescent="0.25">
      <c r="A159" s="12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ht="15.75" customHeight="1" x14ac:dyDescent="0.25">
      <c r="A160" s="12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ht="15.75" customHeight="1" x14ac:dyDescent="0.25">
      <c r="A161" s="12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ht="15.75" customHeight="1" x14ac:dyDescent="0.25">
      <c r="A162" s="12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ht="15.75" customHeight="1" x14ac:dyDescent="0.25">
      <c r="A163" s="12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ht="15.75" customHeight="1" x14ac:dyDescent="0.25">
      <c r="A164" s="12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ht="15.75" customHeight="1" x14ac:dyDescent="0.25">
      <c r="A165" s="12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ht="15.75" customHeight="1" x14ac:dyDescent="0.25">
      <c r="A166" s="12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ht="15.75" customHeight="1" x14ac:dyDescent="0.25">
      <c r="A167" s="12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ht="15.75" customHeight="1" x14ac:dyDescent="0.25">
      <c r="A168" s="12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ht="15.75" customHeight="1" x14ac:dyDescent="0.25">
      <c r="A169" s="12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ht="15.75" customHeight="1" x14ac:dyDescent="0.25">
      <c r="A170" s="12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ht="15.75" customHeight="1" x14ac:dyDescent="0.25">
      <c r="A171" s="12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ht="15.75" customHeight="1" x14ac:dyDescent="0.25">
      <c r="A172" s="12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ht="15.75" customHeight="1" x14ac:dyDescent="0.25">
      <c r="A173" s="12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ht="15.75" customHeight="1" x14ac:dyDescent="0.25">
      <c r="A174" s="12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ht="15.75" customHeight="1" x14ac:dyDescent="0.25">
      <c r="A175" s="12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ht="15.75" customHeight="1" x14ac:dyDescent="0.25">
      <c r="A176" s="12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ht="15.75" customHeight="1" x14ac:dyDescent="0.25">
      <c r="A177" s="12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ht="15.75" customHeight="1" x14ac:dyDescent="0.25">
      <c r="A178" s="12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ht="15.75" customHeight="1" x14ac:dyDescent="0.25">
      <c r="A179" s="12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ht="15.75" customHeight="1" x14ac:dyDescent="0.25">
      <c r="A180" s="12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ht="15.75" customHeight="1" x14ac:dyDescent="0.25">
      <c r="A181" s="12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ht="15.75" customHeight="1" x14ac:dyDescent="0.25">
      <c r="A182" s="12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ht="15.75" customHeight="1" x14ac:dyDescent="0.25">
      <c r="A183" s="12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ht="15.75" customHeight="1" x14ac:dyDescent="0.25">
      <c r="A184" s="12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ht="15.75" customHeight="1" x14ac:dyDescent="0.25">
      <c r="A185" s="12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ht="15.75" customHeight="1" x14ac:dyDescent="0.25">
      <c r="A186" s="12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ht="15.75" customHeight="1" x14ac:dyDescent="0.25">
      <c r="A187" s="12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ht="15.75" customHeight="1" x14ac:dyDescent="0.25">
      <c r="A188" s="12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ht="15.75" customHeight="1" x14ac:dyDescent="0.25">
      <c r="A189" s="12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ht="15.75" customHeight="1" x14ac:dyDescent="0.25">
      <c r="A190" s="12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ht="15.75" customHeight="1" x14ac:dyDescent="0.25">
      <c r="A191" s="12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ht="15.75" customHeight="1" x14ac:dyDescent="0.25">
      <c r="A192" s="12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ht="15.75" customHeight="1" x14ac:dyDescent="0.25">
      <c r="A193" s="12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ht="15.75" customHeight="1" x14ac:dyDescent="0.25">
      <c r="A194" s="12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ht="15.75" customHeight="1" x14ac:dyDescent="0.25">
      <c r="A195" s="12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ht="15.75" customHeight="1" x14ac:dyDescent="0.25">
      <c r="A196" s="12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ht="15.75" customHeight="1" x14ac:dyDescent="0.25">
      <c r="A197" s="12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ht="15.75" customHeight="1" x14ac:dyDescent="0.25">
      <c r="A198" s="12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ht="15.75" customHeight="1" x14ac:dyDescent="0.25">
      <c r="A199" s="12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ht="15.75" customHeight="1" x14ac:dyDescent="0.25">
      <c r="A200" s="12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ht="15.75" customHeight="1" x14ac:dyDescent="0.25">
      <c r="A201" s="12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ht="15.75" customHeight="1" x14ac:dyDescent="0.25">
      <c r="A202" s="12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ht="15.75" customHeight="1" x14ac:dyDescent="0.25">
      <c r="A203" s="12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ht="15.75" customHeight="1" x14ac:dyDescent="0.25">
      <c r="A204" s="12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ht="15.75" customHeight="1" x14ac:dyDescent="0.25">
      <c r="A205" s="12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ht="15.75" customHeight="1" x14ac:dyDescent="0.25">
      <c r="A206" s="12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ht="15.75" customHeight="1" x14ac:dyDescent="0.25">
      <c r="A207" s="12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ht="15.75" customHeight="1" x14ac:dyDescent="0.25">
      <c r="A208" s="12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ht="15.75" customHeight="1" x14ac:dyDescent="0.25">
      <c r="A209" s="12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ht="15.75" customHeight="1" x14ac:dyDescent="0.25">
      <c r="A210" s="12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ht="15.75" customHeight="1" x14ac:dyDescent="0.25">
      <c r="A211" s="12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ht="15.75" customHeight="1" x14ac:dyDescent="0.25">
      <c r="A212" s="12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ht="15.75" customHeight="1" x14ac:dyDescent="0.25">
      <c r="A213" s="12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ht="15.75" customHeight="1" x14ac:dyDescent="0.25">
      <c r="A214" s="12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ht="15.75" customHeight="1" x14ac:dyDescent="0.25">
      <c r="A215" s="12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ht="15.75" customHeight="1" x14ac:dyDescent="0.25">
      <c r="A216" s="12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ht="15.75" customHeight="1" x14ac:dyDescent="0.25">
      <c r="A217" s="12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ht="15.75" customHeight="1" x14ac:dyDescent="0.25">
      <c r="A218" s="12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ht="15.75" customHeight="1" x14ac:dyDescent="0.25">
      <c r="A219" s="12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ht="15.75" customHeight="1" x14ac:dyDescent="0.25">
      <c r="A220" s="12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ht="15.75" customHeight="1" x14ac:dyDescent="0.25">
      <c r="A221" s="12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ht="15.75" customHeight="1" x14ac:dyDescent="0.25">
      <c r="A222" s="12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ht="15.75" customHeight="1" x14ac:dyDescent="0.25">
      <c r="A223" s="12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ht="15.75" customHeight="1" x14ac:dyDescent="0.25">
      <c r="A224" s="12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ht="15.75" customHeight="1" x14ac:dyDescent="0.25">
      <c r="A225" s="12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ht="15.75" customHeight="1" x14ac:dyDescent="0.25">
      <c r="A226" s="12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ht="15.75" customHeight="1" x14ac:dyDescent="0.25">
      <c r="A227" s="12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ht="15.75" customHeight="1" x14ac:dyDescent="0.25">
      <c r="A228" s="12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1:26" ht="15.75" customHeight="1" x14ac:dyDescent="0.25">
      <c r="A229" s="12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1:26" ht="15.75" customHeight="1" x14ac:dyDescent="0.25">
      <c r="A230" s="12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1:26" ht="15.75" customHeight="1" x14ac:dyDescent="0.25">
      <c r="A231" s="12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1:26" ht="15.75" customHeight="1" x14ac:dyDescent="0.25">
      <c r="A232" s="12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1:26" ht="15.75" customHeight="1" x14ac:dyDescent="0.25">
      <c r="A233" s="12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1:26" ht="15.75" customHeight="1" x14ac:dyDescent="0.25">
      <c r="A234" s="12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1:26" ht="15.75" customHeight="1" x14ac:dyDescent="0.25">
      <c r="A235" s="12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1:26" ht="15.75" customHeight="1" x14ac:dyDescent="0.25">
      <c r="A236" s="12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1:26" ht="15.75" customHeight="1" x14ac:dyDescent="0.25">
      <c r="A237" s="12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1:26" ht="15.75" customHeight="1" x14ac:dyDescent="0.25">
      <c r="A238" s="12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1:26" ht="15.75" customHeight="1" x14ac:dyDescent="0.25">
      <c r="A239" s="12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1:26" ht="15.75" customHeight="1" x14ac:dyDescent="0.25">
      <c r="A240" s="12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1:26" ht="15.75" customHeight="1" x14ac:dyDescent="0.25">
      <c r="A241" s="12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1:26" ht="15.75" customHeight="1" x14ac:dyDescent="0.25">
      <c r="A242" s="12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1:26" ht="15.75" customHeight="1" x14ac:dyDescent="0.25">
      <c r="A243" s="12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1:26" ht="15.75" customHeight="1" x14ac:dyDescent="0.25">
      <c r="A244" s="12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1:26" ht="15.75" customHeight="1" x14ac:dyDescent="0.25">
      <c r="A245" s="12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1:26" ht="15.75" customHeight="1" x14ac:dyDescent="0.25">
      <c r="A246" s="12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1:26" ht="15.75" customHeight="1" x14ac:dyDescent="0.25">
      <c r="A247" s="12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1:26" ht="15.75" customHeight="1" x14ac:dyDescent="0.25">
      <c r="A248" s="12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1:26" ht="15.75" customHeight="1" x14ac:dyDescent="0.25">
      <c r="A249" s="12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1:26" ht="15.75" customHeight="1" x14ac:dyDescent="0.25">
      <c r="A250" s="12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1:26" ht="15.75" customHeight="1" x14ac:dyDescent="0.25">
      <c r="A251" s="12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1:26" ht="15.75" customHeight="1" x14ac:dyDescent="0.25">
      <c r="A252" s="12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1:26" ht="15.75" customHeight="1" x14ac:dyDescent="0.25">
      <c r="A253" s="12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1:26" ht="15.75" customHeight="1" x14ac:dyDescent="0.25">
      <c r="A254" s="12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1:26" ht="15.75" customHeight="1" x14ac:dyDescent="0.25">
      <c r="A255" s="12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1:26" ht="15.75" customHeight="1" x14ac:dyDescent="0.25">
      <c r="A256" s="12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1:26" ht="15.75" customHeight="1" x14ac:dyDescent="0.25">
      <c r="A257" s="12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1:26" ht="15.75" customHeight="1" x14ac:dyDescent="0.25">
      <c r="A258" s="12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1:26" ht="15.75" customHeight="1" x14ac:dyDescent="0.25">
      <c r="A259" s="12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1:26" ht="15.75" customHeight="1" x14ac:dyDescent="0.25">
      <c r="A260" s="12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1:26" ht="15.75" customHeight="1" x14ac:dyDescent="0.25">
      <c r="A261" s="12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1:26" ht="15.75" customHeight="1" x14ac:dyDescent="0.25">
      <c r="A262" s="12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1:26" ht="15.75" customHeight="1" x14ac:dyDescent="0.25">
      <c r="A263" s="12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1:26" ht="15.75" customHeight="1" x14ac:dyDescent="0.25">
      <c r="A264" s="12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1:26" ht="15.75" customHeight="1" x14ac:dyDescent="0.25">
      <c r="A265" s="12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1:26" ht="15.75" customHeight="1" x14ac:dyDescent="0.25">
      <c r="A266" s="12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1:26" ht="15.75" customHeight="1" x14ac:dyDescent="0.25">
      <c r="A267" s="12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1:26" ht="15.75" customHeight="1" x14ac:dyDescent="0.25">
      <c r="A268" s="12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1:26" ht="15.75" customHeight="1" x14ac:dyDescent="0.25">
      <c r="A269" s="12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1:26" ht="15.75" customHeight="1" x14ac:dyDescent="0.25">
      <c r="A270" s="12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1:26" ht="15.75" customHeight="1" x14ac:dyDescent="0.25">
      <c r="A271" s="12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1:26" ht="15.75" customHeight="1" x14ac:dyDescent="0.25">
      <c r="A272" s="12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1:26" ht="15.75" customHeight="1" x14ac:dyDescent="0.25">
      <c r="A273" s="12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1:26" ht="15.75" customHeight="1" x14ac:dyDescent="0.25">
      <c r="A274" s="12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1:26" ht="15.75" customHeight="1" x14ac:dyDescent="0.25">
      <c r="A275" s="12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1:26" ht="15.75" customHeight="1" x14ac:dyDescent="0.25">
      <c r="A276" s="12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1:26" ht="15.75" customHeight="1" x14ac:dyDescent="0.25">
      <c r="A277" s="12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1:26" ht="15.75" customHeight="1" x14ac:dyDescent="0.25">
      <c r="A278" s="12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1:26" ht="15.75" customHeight="1" x14ac:dyDescent="0.25">
      <c r="A279" s="12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1:26" ht="15.75" customHeight="1" x14ac:dyDescent="0.25">
      <c r="A280" s="12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1:26" ht="15.75" customHeight="1" x14ac:dyDescent="0.25">
      <c r="A281" s="12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1:26" ht="15.75" customHeight="1" x14ac:dyDescent="0.25">
      <c r="A282" s="12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1:26" ht="15.75" customHeight="1" x14ac:dyDescent="0.25">
      <c r="A283" s="12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1:26" ht="15.75" customHeight="1" x14ac:dyDescent="0.25">
      <c r="A284" s="12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1:26" ht="15.75" customHeight="1" x14ac:dyDescent="0.25">
      <c r="A285" s="12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1:26" ht="15.75" customHeight="1" x14ac:dyDescent="0.25">
      <c r="A286" s="12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1:26" ht="15.75" customHeight="1" x14ac:dyDescent="0.25">
      <c r="A287" s="12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1:26" ht="15.75" customHeight="1" x14ac:dyDescent="0.25">
      <c r="A288" s="12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1:26" ht="15.75" customHeight="1" x14ac:dyDescent="0.25">
      <c r="A289" s="12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1:26" ht="15.75" customHeight="1" x14ac:dyDescent="0.25">
      <c r="A290" s="12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1:26" ht="15.75" customHeight="1" x14ac:dyDescent="0.25">
      <c r="A291" s="12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1:26" ht="15.75" customHeight="1" x14ac:dyDescent="0.25">
      <c r="A292" s="12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1:26" ht="15.75" customHeight="1" x14ac:dyDescent="0.25">
      <c r="A293" s="12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1:26" ht="15.75" customHeight="1" x14ac:dyDescent="0.25">
      <c r="A294" s="12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1:26" ht="15.75" customHeight="1" x14ac:dyDescent="0.25">
      <c r="A295" s="12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1:26" ht="15.75" customHeight="1" x14ac:dyDescent="0.25">
      <c r="A296" s="12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1:26" ht="15.75" customHeight="1" x14ac:dyDescent="0.25">
      <c r="A297" s="12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1:26" ht="15.75" customHeight="1" x14ac:dyDescent="0.25">
      <c r="A298" s="12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1:26" ht="15.75" customHeight="1" x14ac:dyDescent="0.25">
      <c r="A299" s="12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1:26" ht="15.75" customHeight="1" x14ac:dyDescent="0.25">
      <c r="A300" s="12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1:26" ht="15.75" customHeight="1" x14ac:dyDescent="0.25">
      <c r="A301" s="12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1:26" ht="15.75" customHeight="1" x14ac:dyDescent="0.25">
      <c r="A302" s="12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1:26" ht="15.75" customHeight="1" x14ac:dyDescent="0.25">
      <c r="A303" s="12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1:26" ht="15.75" customHeight="1" x14ac:dyDescent="0.25">
      <c r="A304" s="12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1:26" ht="15.75" customHeight="1" x14ac:dyDescent="0.25">
      <c r="A305" s="12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1:26" ht="15.75" customHeight="1" x14ac:dyDescent="0.25">
      <c r="A306" s="12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1:26" ht="15.75" customHeight="1" x14ac:dyDescent="0.25">
      <c r="A307" s="12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1:26" ht="15.75" customHeight="1" x14ac:dyDescent="0.25">
      <c r="A308" s="12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1:26" ht="15.75" customHeight="1" x14ac:dyDescent="0.25">
      <c r="A309" s="12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1:26" ht="15.75" customHeight="1" x14ac:dyDescent="0.25">
      <c r="A310" s="12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1:26" ht="15.75" customHeight="1" x14ac:dyDescent="0.25">
      <c r="A311" s="12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1:26" ht="15.75" customHeight="1" x14ac:dyDescent="0.25">
      <c r="A312" s="12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1:26" ht="15.75" customHeight="1" x14ac:dyDescent="0.25">
      <c r="A313" s="12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1:26" ht="15.75" customHeight="1" x14ac:dyDescent="0.25">
      <c r="A314" s="12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1:26" ht="15.75" customHeight="1" x14ac:dyDescent="0.25">
      <c r="A315" s="12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1:26" ht="15.75" customHeight="1" x14ac:dyDescent="0.25">
      <c r="A316" s="12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1:26" ht="15.75" customHeight="1" x14ac:dyDescent="0.25">
      <c r="A317" s="12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1:26" ht="15.75" customHeight="1" x14ac:dyDescent="0.25">
      <c r="A318" s="12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1:26" ht="15.75" customHeight="1" x14ac:dyDescent="0.25">
      <c r="A319" s="12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1:26" ht="15.75" customHeight="1" x14ac:dyDescent="0.25">
      <c r="A320" s="12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1:26" ht="15.75" customHeight="1" x14ac:dyDescent="0.25">
      <c r="A321" s="12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1:26" ht="15.75" customHeight="1" x14ac:dyDescent="0.25">
      <c r="A322" s="12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1:26" ht="15.75" customHeight="1" x14ac:dyDescent="0.25">
      <c r="A323" s="12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1:26" ht="15.75" customHeight="1" x14ac:dyDescent="0.25">
      <c r="A324" s="12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1:26" ht="15.75" customHeight="1" x14ac:dyDescent="0.25">
      <c r="A325" s="12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1:26" ht="15.75" customHeight="1" x14ac:dyDescent="0.25">
      <c r="A326" s="12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1:26" ht="15.75" customHeight="1" x14ac:dyDescent="0.25">
      <c r="A327" s="12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1:26" ht="15.75" customHeight="1" x14ac:dyDescent="0.25">
      <c r="A328" s="12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1:26" ht="15.75" customHeight="1" x14ac:dyDescent="0.25">
      <c r="A329" s="12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1:26" ht="15.75" customHeight="1" x14ac:dyDescent="0.25">
      <c r="A330" s="12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1:26" ht="15.75" customHeight="1" x14ac:dyDescent="0.25">
      <c r="A331" s="12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1:26" ht="15.75" customHeight="1" x14ac:dyDescent="0.25">
      <c r="A332" s="12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1:26" ht="15.75" customHeight="1" x14ac:dyDescent="0.25">
      <c r="A333" s="12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1:26" ht="15.75" customHeight="1" x14ac:dyDescent="0.25">
      <c r="A334" s="12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1:26" ht="15.75" customHeight="1" x14ac:dyDescent="0.25">
      <c r="A335" s="12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1:26" ht="15.75" customHeight="1" x14ac:dyDescent="0.25">
      <c r="A336" s="12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1:26" ht="15.75" customHeight="1" x14ac:dyDescent="0.25">
      <c r="A337" s="12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1:26" ht="15.75" customHeight="1" x14ac:dyDescent="0.25">
      <c r="A338" s="12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1:26" ht="15.75" customHeight="1" x14ac:dyDescent="0.25">
      <c r="A339" s="12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1:26" ht="15.75" customHeight="1" x14ac:dyDescent="0.25">
      <c r="A340" s="12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1:26" ht="15.75" customHeight="1" x14ac:dyDescent="0.25">
      <c r="A341" s="12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1:26" ht="15.75" customHeight="1" x14ac:dyDescent="0.25">
      <c r="A342" s="12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1:26" ht="15.75" customHeight="1" x14ac:dyDescent="0.25">
      <c r="A343" s="12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1:26" ht="15.75" customHeight="1" x14ac:dyDescent="0.25">
      <c r="A344" s="12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1:26" ht="15.75" customHeight="1" x14ac:dyDescent="0.25">
      <c r="A345" s="12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1:26" ht="15.75" customHeight="1" x14ac:dyDescent="0.25">
      <c r="A346" s="12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1:26" ht="15.75" customHeight="1" x14ac:dyDescent="0.25">
      <c r="A347" s="12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1:26" ht="15.75" customHeight="1" x14ac:dyDescent="0.25">
      <c r="A348" s="12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1:26" ht="15.75" customHeight="1" x14ac:dyDescent="0.25">
      <c r="A349" s="12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1:26" ht="15.75" customHeight="1" x14ac:dyDescent="0.25">
      <c r="A350" s="12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1:26" ht="15.75" customHeight="1" x14ac:dyDescent="0.25">
      <c r="A351" s="12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1:26" ht="15.75" customHeight="1" x14ac:dyDescent="0.25">
      <c r="A352" s="12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1:26" ht="15.75" customHeight="1" x14ac:dyDescent="0.25">
      <c r="A353" s="12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1:26" ht="15.75" customHeight="1" x14ac:dyDescent="0.25">
      <c r="A354" s="12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1:26" ht="15.75" customHeight="1" x14ac:dyDescent="0.25">
      <c r="A355" s="12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1:26" ht="15.75" customHeight="1" x14ac:dyDescent="0.25">
      <c r="A356" s="12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1:26" ht="15.75" customHeight="1" x14ac:dyDescent="0.25">
      <c r="A357" s="12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1:26" ht="15.75" customHeight="1" x14ac:dyDescent="0.25">
      <c r="A358" s="12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1:26" ht="15.75" customHeight="1" x14ac:dyDescent="0.25">
      <c r="A359" s="12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1:26" ht="15.75" customHeight="1" x14ac:dyDescent="0.25">
      <c r="A360" s="12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1:26" ht="15.75" customHeight="1" x14ac:dyDescent="0.25">
      <c r="A361" s="12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1:26" ht="15.75" customHeight="1" x14ac:dyDescent="0.25">
      <c r="A362" s="12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1:26" ht="15.75" customHeight="1" x14ac:dyDescent="0.25">
      <c r="A363" s="12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1:26" ht="15.75" customHeight="1" x14ac:dyDescent="0.25">
      <c r="A364" s="12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1:26" ht="15.75" customHeight="1" x14ac:dyDescent="0.25">
      <c r="A365" s="12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1:26" ht="15.75" customHeight="1" x14ac:dyDescent="0.25">
      <c r="A366" s="12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1:26" ht="15.75" customHeight="1" x14ac:dyDescent="0.25">
      <c r="A367" s="12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1:26" ht="15.75" customHeight="1" x14ac:dyDescent="0.25">
      <c r="A368" s="12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1:26" ht="15.75" customHeight="1" x14ac:dyDescent="0.25">
      <c r="A369" s="12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1:26" ht="15.75" customHeight="1" x14ac:dyDescent="0.25">
      <c r="A370" s="12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1:26" ht="15.75" customHeight="1" x14ac:dyDescent="0.25">
      <c r="A371" s="12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1:26" ht="15.75" customHeight="1" x14ac:dyDescent="0.25">
      <c r="A372" s="12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1:26" ht="15.75" customHeight="1" x14ac:dyDescent="0.25">
      <c r="A373" s="12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1:26" ht="15.75" customHeight="1" x14ac:dyDescent="0.25">
      <c r="A374" s="12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1:26" ht="15.75" customHeight="1" x14ac:dyDescent="0.25">
      <c r="A375" s="12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1:26" ht="15.75" customHeight="1" x14ac:dyDescent="0.25">
      <c r="A376" s="12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1:26" ht="15.75" customHeight="1" x14ac:dyDescent="0.25">
      <c r="A377" s="12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1:26" ht="15.75" customHeight="1" x14ac:dyDescent="0.25">
      <c r="A378" s="12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1:26" ht="15.75" customHeight="1" x14ac:dyDescent="0.25">
      <c r="A379" s="12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1:26" ht="15.75" customHeight="1" x14ac:dyDescent="0.25">
      <c r="A380" s="12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1:26" ht="15.75" customHeight="1" x14ac:dyDescent="0.25">
      <c r="A381" s="12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1:26" ht="15.75" customHeight="1" x14ac:dyDescent="0.25">
      <c r="A382" s="12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1:26" ht="15.75" customHeight="1" x14ac:dyDescent="0.25">
      <c r="A383" s="12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1:26" ht="15.75" customHeight="1" x14ac:dyDescent="0.25">
      <c r="A384" s="12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1:26" ht="15.75" customHeight="1" x14ac:dyDescent="0.25">
      <c r="A385" s="12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1:26" ht="15.75" customHeight="1" x14ac:dyDescent="0.25">
      <c r="A386" s="12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1:26" ht="15.75" customHeight="1" x14ac:dyDescent="0.25">
      <c r="A387" s="12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1:26" ht="15.75" customHeight="1" x14ac:dyDescent="0.25">
      <c r="A388" s="12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1:26" ht="15.75" customHeight="1" x14ac:dyDescent="0.25">
      <c r="A389" s="12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1:26" ht="15.75" customHeight="1" x14ac:dyDescent="0.25">
      <c r="A390" s="12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1:26" ht="15.75" customHeight="1" x14ac:dyDescent="0.25">
      <c r="A391" s="12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1:26" ht="15.75" customHeight="1" x14ac:dyDescent="0.25">
      <c r="A392" s="12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1:26" ht="15.75" customHeight="1" x14ac:dyDescent="0.25">
      <c r="A393" s="12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1:26" ht="15.75" customHeight="1" x14ac:dyDescent="0.25">
      <c r="A394" s="12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1:26" ht="15.75" customHeight="1" x14ac:dyDescent="0.25">
      <c r="A395" s="12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1:26" ht="15.75" customHeight="1" x14ac:dyDescent="0.25">
      <c r="A396" s="12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1:26" ht="15.75" customHeight="1" x14ac:dyDescent="0.25">
      <c r="A397" s="12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1:26" ht="15.75" customHeight="1" x14ac:dyDescent="0.25">
      <c r="A398" s="12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1:26" ht="15.75" customHeight="1" x14ac:dyDescent="0.25">
      <c r="A399" s="12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1:26" ht="15.75" customHeight="1" x14ac:dyDescent="0.25">
      <c r="A400" s="12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1:26" ht="15.75" customHeight="1" x14ac:dyDescent="0.25">
      <c r="A401" s="12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1:26" ht="15.75" customHeight="1" x14ac:dyDescent="0.25">
      <c r="A402" s="12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1:26" ht="15.75" customHeight="1" x14ac:dyDescent="0.25">
      <c r="A403" s="12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1:26" ht="15.75" customHeight="1" x14ac:dyDescent="0.25">
      <c r="A404" s="12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1:26" ht="15.75" customHeight="1" x14ac:dyDescent="0.25">
      <c r="A405" s="12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1:26" ht="15.75" customHeight="1" x14ac:dyDescent="0.25">
      <c r="A406" s="12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1:26" ht="15.75" customHeight="1" x14ac:dyDescent="0.25">
      <c r="A407" s="12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1:26" ht="15.75" customHeight="1" x14ac:dyDescent="0.25">
      <c r="A408" s="12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1:26" ht="15.75" customHeight="1" x14ac:dyDescent="0.25">
      <c r="A409" s="12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1:26" ht="15.75" customHeight="1" x14ac:dyDescent="0.25">
      <c r="A410" s="12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1:26" ht="15.75" customHeight="1" x14ac:dyDescent="0.25">
      <c r="A411" s="12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1:26" ht="15.75" customHeight="1" x14ac:dyDescent="0.25">
      <c r="A412" s="12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1:26" ht="15.75" customHeight="1" x14ac:dyDescent="0.25">
      <c r="A413" s="12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1:26" ht="15.75" customHeight="1" x14ac:dyDescent="0.25">
      <c r="A414" s="12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1:26" ht="15.75" customHeight="1" x14ac:dyDescent="0.25">
      <c r="A415" s="12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1:26" ht="15.75" customHeight="1" x14ac:dyDescent="0.25">
      <c r="A416" s="12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1:26" ht="15.75" customHeight="1" x14ac:dyDescent="0.25">
      <c r="A417" s="12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1:26" ht="15.75" customHeight="1" x14ac:dyDescent="0.25">
      <c r="A418" s="12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1:26" ht="15.75" customHeight="1" x14ac:dyDescent="0.25">
      <c r="A419" s="12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1:26" ht="15.75" customHeight="1" x14ac:dyDescent="0.25">
      <c r="A420" s="12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1:26" ht="15.75" customHeight="1" x14ac:dyDescent="0.25">
      <c r="A421" s="12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1:26" ht="15.75" customHeight="1" x14ac:dyDescent="0.25">
      <c r="A422" s="12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1:26" ht="15.75" customHeight="1" x14ac:dyDescent="0.25">
      <c r="A423" s="12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1:26" ht="15.75" customHeight="1" x14ac:dyDescent="0.25">
      <c r="A424" s="12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1:26" ht="15.75" customHeight="1" x14ac:dyDescent="0.25">
      <c r="A425" s="12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1:26" ht="15.75" customHeight="1" x14ac:dyDescent="0.25">
      <c r="A426" s="12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1:26" ht="15.75" customHeight="1" x14ac:dyDescent="0.25">
      <c r="A427" s="12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1:26" ht="15.75" customHeight="1" x14ac:dyDescent="0.25">
      <c r="A428" s="12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1:26" ht="15.75" customHeight="1" x14ac:dyDescent="0.25">
      <c r="A429" s="12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1:26" ht="15.75" customHeight="1" x14ac:dyDescent="0.25">
      <c r="A430" s="12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1:26" ht="15.75" customHeight="1" x14ac:dyDescent="0.25">
      <c r="A431" s="12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1:26" ht="15.75" customHeight="1" x14ac:dyDescent="0.25">
      <c r="A432" s="12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1:26" ht="15.75" customHeight="1" x14ac:dyDescent="0.25">
      <c r="A433" s="12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1:26" ht="15.75" customHeight="1" x14ac:dyDescent="0.25">
      <c r="A434" s="12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1:26" ht="15.75" customHeight="1" x14ac:dyDescent="0.25">
      <c r="A435" s="12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1:26" ht="15.75" customHeight="1" x14ac:dyDescent="0.25">
      <c r="A436" s="12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1:26" ht="15.75" customHeight="1" x14ac:dyDescent="0.25">
      <c r="A437" s="12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1:26" ht="15.75" customHeight="1" x14ac:dyDescent="0.25">
      <c r="A438" s="12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1:26" ht="15.75" customHeight="1" x14ac:dyDescent="0.25">
      <c r="A439" s="12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1:26" ht="15.75" customHeight="1" x14ac:dyDescent="0.25">
      <c r="A440" s="12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1:26" ht="15.75" customHeight="1" x14ac:dyDescent="0.25">
      <c r="A441" s="12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1:26" ht="15.75" customHeight="1" x14ac:dyDescent="0.25">
      <c r="A442" s="12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1:26" ht="15.75" customHeight="1" x14ac:dyDescent="0.25">
      <c r="A443" s="12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1:26" ht="15.75" customHeight="1" x14ac:dyDescent="0.25">
      <c r="A444" s="12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1:26" ht="15.75" customHeight="1" x14ac:dyDescent="0.25">
      <c r="A445" s="12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1:26" ht="15.75" customHeight="1" x14ac:dyDescent="0.25">
      <c r="A446" s="12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1:26" ht="15.75" customHeight="1" x14ac:dyDescent="0.25">
      <c r="A447" s="12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1:26" ht="15.75" customHeight="1" x14ac:dyDescent="0.25">
      <c r="A448" s="12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1:26" ht="15.75" customHeight="1" x14ac:dyDescent="0.25">
      <c r="A449" s="12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1:26" ht="15.75" customHeight="1" x14ac:dyDescent="0.25">
      <c r="A450" s="12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1:26" ht="15.75" customHeight="1" x14ac:dyDescent="0.25">
      <c r="A451" s="12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1:26" ht="15.75" customHeight="1" x14ac:dyDescent="0.25">
      <c r="A452" s="12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1:26" ht="15.75" customHeight="1" x14ac:dyDescent="0.25">
      <c r="A453" s="12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1:26" ht="15.75" customHeight="1" x14ac:dyDescent="0.25">
      <c r="A454" s="12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1:26" ht="15.75" customHeight="1" x14ac:dyDescent="0.25">
      <c r="A455" s="12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1:26" ht="15.75" customHeight="1" x14ac:dyDescent="0.25">
      <c r="A456" s="12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1:26" ht="15.75" customHeight="1" x14ac:dyDescent="0.25">
      <c r="A457" s="12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1:26" ht="15.75" customHeight="1" x14ac:dyDescent="0.25">
      <c r="A458" s="12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1:26" ht="15.75" customHeight="1" x14ac:dyDescent="0.25">
      <c r="A459" s="12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1:26" ht="15.75" customHeight="1" x14ac:dyDescent="0.25">
      <c r="A460" s="12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1:26" ht="15.75" customHeight="1" x14ac:dyDescent="0.25">
      <c r="A461" s="12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1:26" ht="15.75" customHeight="1" x14ac:dyDescent="0.25">
      <c r="A462" s="12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1:26" ht="15.75" customHeight="1" x14ac:dyDescent="0.25">
      <c r="A463" s="12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1:26" ht="15.75" customHeight="1" x14ac:dyDescent="0.25">
      <c r="A464" s="12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1:26" ht="15.75" customHeight="1" x14ac:dyDescent="0.25">
      <c r="A465" s="12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1:26" ht="15.75" customHeight="1" x14ac:dyDescent="0.25">
      <c r="A466" s="12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1:26" ht="15.75" customHeight="1" x14ac:dyDescent="0.25">
      <c r="A467" s="12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1:26" ht="15.75" customHeight="1" x14ac:dyDescent="0.25">
      <c r="A468" s="12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1:26" ht="15.75" customHeight="1" x14ac:dyDescent="0.25">
      <c r="A469" s="12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1:26" ht="15.75" customHeight="1" x14ac:dyDescent="0.25">
      <c r="A470" s="12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1:26" ht="15.75" customHeight="1" x14ac:dyDescent="0.25">
      <c r="A471" s="12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1:26" ht="15.75" customHeight="1" x14ac:dyDescent="0.25">
      <c r="A472" s="12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1:26" ht="15.75" customHeight="1" x14ac:dyDescent="0.25">
      <c r="A473" s="12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1:26" ht="15.75" customHeight="1" x14ac:dyDescent="0.25">
      <c r="A474" s="12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1:26" ht="15.75" customHeight="1" x14ac:dyDescent="0.25">
      <c r="A475" s="12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1:26" ht="15.75" customHeight="1" x14ac:dyDescent="0.25">
      <c r="A476" s="12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1:26" ht="15.75" customHeight="1" x14ac:dyDescent="0.25">
      <c r="A477" s="12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1:26" ht="15.75" customHeight="1" x14ac:dyDescent="0.25">
      <c r="A478" s="12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1:26" ht="15.75" customHeight="1" x14ac:dyDescent="0.25">
      <c r="A479" s="12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1:26" ht="15.75" customHeight="1" x14ac:dyDescent="0.25">
      <c r="A480" s="12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1:26" ht="15.75" customHeight="1" x14ac:dyDescent="0.25">
      <c r="A481" s="12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1:26" ht="15.75" customHeight="1" x14ac:dyDescent="0.25">
      <c r="A482" s="12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1:26" ht="15.75" customHeight="1" x14ac:dyDescent="0.25">
      <c r="A483" s="12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1:26" ht="15.75" customHeight="1" x14ac:dyDescent="0.25">
      <c r="A484" s="12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1:26" ht="15.75" customHeight="1" x14ac:dyDescent="0.25">
      <c r="A485" s="12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1:26" ht="15.75" customHeight="1" x14ac:dyDescent="0.25">
      <c r="A486" s="12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1:26" ht="15.75" customHeight="1" x14ac:dyDescent="0.25">
      <c r="A487" s="12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1:26" ht="15.75" customHeight="1" x14ac:dyDescent="0.25">
      <c r="A488" s="12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1:26" ht="15.75" customHeight="1" x14ac:dyDescent="0.25">
      <c r="A489" s="12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1:26" ht="15.75" customHeight="1" x14ac:dyDescent="0.25">
      <c r="A490" s="12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1:26" ht="15.75" customHeight="1" x14ac:dyDescent="0.25">
      <c r="A491" s="12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1:26" ht="15.75" customHeight="1" x14ac:dyDescent="0.25">
      <c r="A492" s="12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1:26" ht="15.75" customHeight="1" x14ac:dyDescent="0.25">
      <c r="A493" s="12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1:26" ht="15.75" customHeight="1" x14ac:dyDescent="0.25">
      <c r="A494" s="12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1:26" ht="15.75" customHeight="1" x14ac:dyDescent="0.25">
      <c r="A495" s="12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1:26" ht="15.75" customHeight="1" x14ac:dyDescent="0.25">
      <c r="A496" s="12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1:26" ht="15.75" customHeight="1" x14ac:dyDescent="0.25">
      <c r="A497" s="12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1:26" ht="15.75" customHeight="1" x14ac:dyDescent="0.25">
      <c r="A498" s="12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1:26" ht="15.75" customHeight="1" x14ac:dyDescent="0.25">
      <c r="A499" s="12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1:26" ht="15.75" customHeight="1" x14ac:dyDescent="0.25">
      <c r="A500" s="12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1:26" ht="15.75" customHeight="1" x14ac:dyDescent="0.25">
      <c r="A501" s="12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1:26" ht="15.75" customHeight="1" x14ac:dyDescent="0.25">
      <c r="A502" s="12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1:26" ht="15.75" customHeight="1" x14ac:dyDescent="0.25">
      <c r="A503" s="12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1:26" ht="15.75" customHeight="1" x14ac:dyDescent="0.25">
      <c r="A504" s="12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1:26" ht="15.75" customHeight="1" x14ac:dyDescent="0.25">
      <c r="A505" s="12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1:26" ht="15.75" customHeight="1" x14ac:dyDescent="0.25">
      <c r="A506" s="12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1:26" ht="15.75" customHeight="1" x14ac:dyDescent="0.25">
      <c r="A507" s="12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1:26" ht="15.75" customHeight="1" x14ac:dyDescent="0.25">
      <c r="A508" s="12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1:26" ht="15.75" customHeight="1" x14ac:dyDescent="0.25">
      <c r="A509" s="12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1:26" ht="15.75" customHeight="1" x14ac:dyDescent="0.25">
      <c r="A510" s="12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1:26" ht="15.75" customHeight="1" x14ac:dyDescent="0.25">
      <c r="A511" s="12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1:26" ht="15.75" customHeight="1" x14ac:dyDescent="0.25">
      <c r="A512" s="12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1:26" ht="15.75" customHeight="1" x14ac:dyDescent="0.25">
      <c r="A513" s="12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1:26" ht="15.75" customHeight="1" x14ac:dyDescent="0.25">
      <c r="A514" s="12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1:26" ht="15.75" customHeight="1" x14ac:dyDescent="0.25">
      <c r="A515" s="12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1:26" ht="15.75" customHeight="1" x14ac:dyDescent="0.25">
      <c r="A516" s="12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1:26" ht="15.75" customHeight="1" x14ac:dyDescent="0.25">
      <c r="A517" s="12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1:26" ht="15.75" customHeight="1" x14ac:dyDescent="0.25">
      <c r="A518" s="12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1:26" ht="15.75" customHeight="1" x14ac:dyDescent="0.25">
      <c r="A519" s="12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1:26" ht="15.75" customHeight="1" x14ac:dyDescent="0.25">
      <c r="A520" s="12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1:26" ht="15.75" customHeight="1" x14ac:dyDescent="0.25">
      <c r="A521" s="12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1:26" ht="15.75" customHeight="1" x14ac:dyDescent="0.25">
      <c r="A522" s="12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1:26" ht="15.75" customHeight="1" x14ac:dyDescent="0.25">
      <c r="A523" s="12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1:26" ht="15.75" customHeight="1" x14ac:dyDescent="0.25">
      <c r="A524" s="12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1:26" ht="15.75" customHeight="1" x14ac:dyDescent="0.25">
      <c r="A525" s="12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1:26" ht="15.75" customHeight="1" x14ac:dyDescent="0.25">
      <c r="A526" s="12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1:26" ht="15.75" customHeight="1" x14ac:dyDescent="0.25">
      <c r="A527" s="12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1:26" ht="15.75" customHeight="1" x14ac:dyDescent="0.25">
      <c r="A528" s="12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1:26" ht="15.75" customHeight="1" x14ac:dyDescent="0.25">
      <c r="A529" s="12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1:26" ht="15.75" customHeight="1" x14ac:dyDescent="0.25">
      <c r="A530" s="12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1:26" ht="15.75" customHeight="1" x14ac:dyDescent="0.25">
      <c r="A531" s="12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1:26" ht="15.75" customHeight="1" x14ac:dyDescent="0.25">
      <c r="A532" s="12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1:26" ht="15.75" customHeight="1" x14ac:dyDescent="0.25">
      <c r="A533" s="12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1:26" ht="15.75" customHeight="1" x14ac:dyDescent="0.25">
      <c r="A534" s="12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1:26" ht="15.75" customHeight="1" x14ac:dyDescent="0.25">
      <c r="A535" s="12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1:26" ht="15.75" customHeight="1" x14ac:dyDescent="0.25">
      <c r="A536" s="12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1:26" ht="15.75" customHeight="1" x14ac:dyDescent="0.25">
      <c r="A537" s="12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1:26" ht="15.75" customHeight="1" x14ac:dyDescent="0.25">
      <c r="A538" s="12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1:26" ht="15.75" customHeight="1" x14ac:dyDescent="0.25">
      <c r="A539" s="12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1:26" ht="15.75" customHeight="1" x14ac:dyDescent="0.25">
      <c r="A540" s="12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1:26" ht="15.75" customHeight="1" x14ac:dyDescent="0.25">
      <c r="A541" s="12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1:26" ht="15.75" customHeight="1" x14ac:dyDescent="0.25">
      <c r="A542" s="12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1:26" ht="15.75" customHeight="1" x14ac:dyDescent="0.25">
      <c r="A543" s="12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1:26" ht="15.75" customHeight="1" x14ac:dyDescent="0.25">
      <c r="A544" s="12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1:26" ht="15.75" customHeight="1" x14ac:dyDescent="0.25">
      <c r="A545" s="12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1:26" ht="15.75" customHeight="1" x14ac:dyDescent="0.25">
      <c r="A546" s="12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1:26" ht="15.75" customHeight="1" x14ac:dyDescent="0.25">
      <c r="A547" s="12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1:26" ht="15.75" customHeight="1" x14ac:dyDescent="0.25">
      <c r="A548" s="12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1:26" ht="15.75" customHeight="1" x14ac:dyDescent="0.25">
      <c r="A549" s="12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1:26" ht="15.75" customHeight="1" x14ac:dyDescent="0.25">
      <c r="A550" s="12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1:26" ht="15.75" customHeight="1" x14ac:dyDescent="0.25">
      <c r="A551" s="12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1:26" ht="15.75" customHeight="1" x14ac:dyDescent="0.25">
      <c r="A552" s="12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1:26" ht="15.75" customHeight="1" x14ac:dyDescent="0.25">
      <c r="A553" s="12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1:26" ht="15.75" customHeight="1" x14ac:dyDescent="0.25">
      <c r="A554" s="12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1:26" ht="15.75" customHeight="1" x14ac:dyDescent="0.25">
      <c r="A555" s="12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1:26" ht="15.75" customHeight="1" x14ac:dyDescent="0.25">
      <c r="A556" s="12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1:26" ht="15.75" customHeight="1" x14ac:dyDescent="0.25">
      <c r="A557" s="12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1:26" ht="15.75" customHeight="1" x14ac:dyDescent="0.25">
      <c r="A558" s="12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1:26" ht="15.75" customHeight="1" x14ac:dyDescent="0.25">
      <c r="A559" s="12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1:26" ht="15.75" customHeight="1" x14ac:dyDescent="0.25">
      <c r="A560" s="12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1:26" ht="15.75" customHeight="1" x14ac:dyDescent="0.25">
      <c r="A561" s="12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1:26" ht="15.75" customHeight="1" x14ac:dyDescent="0.25">
      <c r="A562" s="12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1:26" ht="15.75" customHeight="1" x14ac:dyDescent="0.25">
      <c r="A563" s="12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1:26" ht="15.75" customHeight="1" x14ac:dyDescent="0.25">
      <c r="A564" s="12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1:26" ht="15.75" customHeight="1" x14ac:dyDescent="0.25">
      <c r="A565" s="12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1:26" ht="15.75" customHeight="1" x14ac:dyDescent="0.25">
      <c r="A566" s="12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1:26" ht="15.75" customHeight="1" x14ac:dyDescent="0.25">
      <c r="A567" s="12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1:26" ht="15.75" customHeight="1" x14ac:dyDescent="0.25">
      <c r="A568" s="12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1:26" ht="15.75" customHeight="1" x14ac:dyDescent="0.25">
      <c r="A569" s="12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1:26" ht="15.75" customHeight="1" x14ac:dyDescent="0.25">
      <c r="A570" s="12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1:26" ht="15.75" customHeight="1" x14ac:dyDescent="0.25">
      <c r="A571" s="12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1:26" ht="15.75" customHeight="1" x14ac:dyDescent="0.25">
      <c r="A572" s="12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1:26" ht="15.75" customHeight="1" x14ac:dyDescent="0.25">
      <c r="A573" s="12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1:26" ht="15.75" customHeight="1" x14ac:dyDescent="0.25">
      <c r="A574" s="12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1:26" ht="15.75" customHeight="1" x14ac:dyDescent="0.25">
      <c r="A575" s="12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1:26" ht="15.75" customHeight="1" x14ac:dyDescent="0.25">
      <c r="A576" s="12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1:26" ht="15.75" customHeight="1" x14ac:dyDescent="0.25">
      <c r="A577" s="12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1:26" ht="15.75" customHeight="1" x14ac:dyDescent="0.25">
      <c r="A578" s="12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1:26" ht="15.75" customHeight="1" x14ac:dyDescent="0.25">
      <c r="A579" s="12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1:26" ht="15.75" customHeight="1" x14ac:dyDescent="0.25">
      <c r="A580" s="12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1:26" ht="15.75" customHeight="1" x14ac:dyDescent="0.25">
      <c r="A581" s="12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1:26" ht="15.75" customHeight="1" x14ac:dyDescent="0.25">
      <c r="A582" s="12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1:26" ht="15.75" customHeight="1" x14ac:dyDescent="0.25">
      <c r="A583" s="12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1:26" ht="15.75" customHeight="1" x14ac:dyDescent="0.25">
      <c r="A584" s="12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1:26" ht="15.75" customHeight="1" x14ac:dyDescent="0.25">
      <c r="A585" s="12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1:26" ht="15.75" customHeight="1" x14ac:dyDescent="0.25">
      <c r="A586" s="12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1:26" ht="15.75" customHeight="1" x14ac:dyDescent="0.25">
      <c r="A587" s="12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1:26" ht="15.75" customHeight="1" x14ac:dyDescent="0.25">
      <c r="A588" s="12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1:26" ht="15.75" customHeight="1" x14ac:dyDescent="0.25">
      <c r="A589" s="12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1:26" ht="15.75" customHeight="1" x14ac:dyDescent="0.25">
      <c r="A590" s="12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1:26" ht="15.75" customHeight="1" x14ac:dyDescent="0.25">
      <c r="A591" s="12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1:26" ht="15.75" customHeight="1" x14ac:dyDescent="0.25">
      <c r="A592" s="12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1:26" ht="15.75" customHeight="1" x14ac:dyDescent="0.25">
      <c r="A593" s="12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1:26" ht="15.75" customHeight="1" x14ac:dyDescent="0.25">
      <c r="A594" s="12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1:26" ht="15.75" customHeight="1" x14ac:dyDescent="0.25">
      <c r="A595" s="12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1:26" ht="15.75" customHeight="1" x14ac:dyDescent="0.25">
      <c r="A596" s="12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1:26" ht="15.75" customHeight="1" x14ac:dyDescent="0.25">
      <c r="A597" s="12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1:26" ht="15.75" customHeight="1" x14ac:dyDescent="0.25">
      <c r="A598" s="12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1:26" ht="15.75" customHeight="1" x14ac:dyDescent="0.25">
      <c r="A599" s="12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1:26" ht="15.75" customHeight="1" x14ac:dyDescent="0.25">
      <c r="A600" s="12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1:26" ht="15.75" customHeight="1" x14ac:dyDescent="0.25">
      <c r="A601" s="12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1:26" ht="15.75" customHeight="1" x14ac:dyDescent="0.25">
      <c r="A602" s="12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1:26" ht="15.75" customHeight="1" x14ac:dyDescent="0.25">
      <c r="A603" s="12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1:26" ht="15.75" customHeight="1" x14ac:dyDescent="0.25">
      <c r="A604" s="12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1:26" ht="15.75" customHeight="1" x14ac:dyDescent="0.25">
      <c r="A605" s="12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1:26" ht="15.75" customHeight="1" x14ac:dyDescent="0.25">
      <c r="A606" s="12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1:26" ht="15.75" customHeight="1" x14ac:dyDescent="0.25">
      <c r="A607" s="12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1:26" ht="15.75" customHeight="1" x14ac:dyDescent="0.25">
      <c r="A608" s="12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1:26" ht="15.75" customHeight="1" x14ac:dyDescent="0.25">
      <c r="A609" s="12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1:26" ht="15.75" customHeight="1" x14ac:dyDescent="0.25">
      <c r="A610" s="12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1:26" ht="15.75" customHeight="1" x14ac:dyDescent="0.25">
      <c r="A611" s="12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1:26" ht="15.75" customHeight="1" x14ac:dyDescent="0.25">
      <c r="A612" s="12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1:26" ht="15.75" customHeight="1" x14ac:dyDescent="0.25">
      <c r="A613" s="12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1:26" ht="15.75" customHeight="1" x14ac:dyDescent="0.25">
      <c r="A614" s="12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1:26" ht="15.75" customHeight="1" x14ac:dyDescent="0.25">
      <c r="A615" s="12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1:26" ht="15.75" customHeight="1" x14ac:dyDescent="0.25">
      <c r="A616" s="12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1:26" ht="15.75" customHeight="1" x14ac:dyDescent="0.25">
      <c r="A617" s="12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1:26" ht="15.75" customHeight="1" x14ac:dyDescent="0.25">
      <c r="A618" s="12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1:26" ht="15.75" customHeight="1" x14ac:dyDescent="0.25">
      <c r="A619" s="12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1:26" ht="15.75" customHeight="1" x14ac:dyDescent="0.25">
      <c r="A620" s="12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1:26" ht="15.75" customHeight="1" x14ac:dyDescent="0.25">
      <c r="A621" s="12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1:26" ht="15.75" customHeight="1" x14ac:dyDescent="0.25">
      <c r="A622" s="12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1:26" ht="15.75" customHeight="1" x14ac:dyDescent="0.25">
      <c r="A623" s="12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1:26" ht="15.75" customHeight="1" x14ac:dyDescent="0.25">
      <c r="A624" s="12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1:26" ht="15.75" customHeight="1" x14ac:dyDescent="0.25">
      <c r="A625" s="12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1:26" ht="15.75" customHeight="1" x14ac:dyDescent="0.25">
      <c r="A626" s="12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1:26" ht="15.75" customHeight="1" x14ac:dyDescent="0.25">
      <c r="A627" s="12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1:26" ht="15.75" customHeight="1" x14ac:dyDescent="0.25">
      <c r="A628" s="12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1:26" ht="15.75" customHeight="1" x14ac:dyDescent="0.25">
      <c r="A629" s="12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1:26" ht="15.75" customHeight="1" x14ac:dyDescent="0.25">
      <c r="A630" s="12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1:26" ht="15.75" customHeight="1" x14ac:dyDescent="0.25">
      <c r="A631" s="12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1:26" ht="15.75" customHeight="1" x14ac:dyDescent="0.25">
      <c r="A632" s="12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1:26" ht="15.75" customHeight="1" x14ac:dyDescent="0.25">
      <c r="A633" s="12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1:26" ht="15.75" customHeight="1" x14ac:dyDescent="0.25">
      <c r="A634" s="12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1:26" ht="15.75" customHeight="1" x14ac:dyDescent="0.25">
      <c r="A635" s="12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1:26" ht="15.75" customHeight="1" x14ac:dyDescent="0.25">
      <c r="A636" s="12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1:26" ht="15.75" customHeight="1" x14ac:dyDescent="0.25">
      <c r="A637" s="12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1:26" ht="15.75" customHeight="1" x14ac:dyDescent="0.25">
      <c r="A638" s="12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1:26" ht="15.75" customHeight="1" x14ac:dyDescent="0.25">
      <c r="A639" s="12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1:26" ht="15.75" customHeight="1" x14ac:dyDescent="0.25">
      <c r="A640" s="12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1:26" ht="15.75" customHeight="1" x14ac:dyDescent="0.25">
      <c r="A641" s="12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1:26" ht="15.75" customHeight="1" x14ac:dyDescent="0.25">
      <c r="A642" s="12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1:26" ht="15.75" customHeight="1" x14ac:dyDescent="0.25">
      <c r="A643" s="12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1:26" ht="15.75" customHeight="1" x14ac:dyDescent="0.25">
      <c r="A644" s="12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1:26" ht="15.75" customHeight="1" x14ac:dyDescent="0.25">
      <c r="A645" s="12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1:26" ht="15.75" customHeight="1" x14ac:dyDescent="0.25">
      <c r="A646" s="12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1:26" ht="15.75" customHeight="1" x14ac:dyDescent="0.25">
      <c r="A647" s="12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1:26" ht="15.75" customHeight="1" x14ac:dyDescent="0.25">
      <c r="A648" s="12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1:26" ht="15.75" customHeight="1" x14ac:dyDescent="0.25">
      <c r="A649" s="12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1:26" ht="15.75" customHeight="1" x14ac:dyDescent="0.25">
      <c r="A650" s="12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1:26" ht="15.75" customHeight="1" x14ac:dyDescent="0.25">
      <c r="A651" s="12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1:26" ht="15.75" customHeight="1" x14ac:dyDescent="0.25">
      <c r="A652" s="12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1:26" ht="15.75" customHeight="1" x14ac:dyDescent="0.25">
      <c r="A653" s="12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1:26" ht="15.75" customHeight="1" x14ac:dyDescent="0.25">
      <c r="A654" s="12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1:26" ht="15.75" customHeight="1" x14ac:dyDescent="0.25">
      <c r="A655" s="12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1:26" ht="15.75" customHeight="1" x14ac:dyDescent="0.25">
      <c r="A656" s="12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1:26" ht="15.75" customHeight="1" x14ac:dyDescent="0.25">
      <c r="A657" s="12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1:26" ht="15.75" customHeight="1" x14ac:dyDescent="0.25">
      <c r="A658" s="12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1:26" ht="15.75" customHeight="1" x14ac:dyDescent="0.25">
      <c r="A659" s="12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1:26" ht="15.75" customHeight="1" x14ac:dyDescent="0.25">
      <c r="A660" s="12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1:26" ht="15.75" customHeight="1" x14ac:dyDescent="0.25">
      <c r="A661" s="12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1:26" ht="15.75" customHeight="1" x14ac:dyDescent="0.25">
      <c r="A662" s="12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1:26" ht="15.75" customHeight="1" x14ac:dyDescent="0.25">
      <c r="A663" s="12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1:26" ht="15.75" customHeight="1" x14ac:dyDescent="0.25">
      <c r="A664" s="12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1:26" ht="15.75" customHeight="1" x14ac:dyDescent="0.25">
      <c r="A665" s="12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1:26" ht="15.75" customHeight="1" x14ac:dyDescent="0.25">
      <c r="A666" s="12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1:26" ht="15.75" customHeight="1" x14ac:dyDescent="0.25">
      <c r="A667" s="12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1:26" ht="15.75" customHeight="1" x14ac:dyDescent="0.25">
      <c r="A668" s="12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1:26" ht="15.75" customHeight="1" x14ac:dyDescent="0.25">
      <c r="A669" s="12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1:26" ht="15.75" customHeight="1" x14ac:dyDescent="0.25">
      <c r="A670" s="12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1:26" ht="15.75" customHeight="1" x14ac:dyDescent="0.25">
      <c r="A671" s="12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1:26" ht="15.75" customHeight="1" x14ac:dyDescent="0.25">
      <c r="A672" s="12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1:26" ht="15.75" customHeight="1" x14ac:dyDescent="0.25">
      <c r="A673" s="12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1:26" ht="15.75" customHeight="1" x14ac:dyDescent="0.25">
      <c r="A674" s="12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1:26" ht="15.75" customHeight="1" x14ac:dyDescent="0.25">
      <c r="A675" s="12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1:26" ht="15.75" customHeight="1" x14ac:dyDescent="0.25">
      <c r="A676" s="12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1:26" ht="15.75" customHeight="1" x14ac:dyDescent="0.25">
      <c r="A677" s="12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1:26" ht="15.75" customHeight="1" x14ac:dyDescent="0.25">
      <c r="A678" s="12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1:26" ht="15.75" customHeight="1" x14ac:dyDescent="0.25">
      <c r="A679" s="12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1:26" ht="15.75" customHeight="1" x14ac:dyDescent="0.25">
      <c r="A680" s="12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1:26" ht="15.75" customHeight="1" x14ac:dyDescent="0.25">
      <c r="A681" s="12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1:26" ht="15.75" customHeight="1" x14ac:dyDescent="0.25">
      <c r="A682" s="12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1:26" ht="15.75" customHeight="1" x14ac:dyDescent="0.25">
      <c r="A683" s="12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1:26" ht="15.75" customHeight="1" x14ac:dyDescent="0.25">
      <c r="A684" s="12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1:26" ht="15.75" customHeight="1" x14ac:dyDescent="0.25">
      <c r="A685" s="12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1:26" ht="15.75" customHeight="1" x14ac:dyDescent="0.25">
      <c r="A686" s="12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1:26" ht="15.75" customHeight="1" x14ac:dyDescent="0.25">
      <c r="A687" s="12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1:26" ht="15.75" customHeight="1" x14ac:dyDescent="0.25">
      <c r="A688" s="12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1:26" ht="15.75" customHeight="1" x14ac:dyDescent="0.25">
      <c r="A689" s="12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1:26" ht="15.75" customHeight="1" x14ac:dyDescent="0.25">
      <c r="A690" s="12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1:26" ht="15.75" customHeight="1" x14ac:dyDescent="0.25">
      <c r="A691" s="12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1:26" ht="15.75" customHeight="1" x14ac:dyDescent="0.25">
      <c r="A692" s="12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1:26" ht="15.75" customHeight="1" x14ac:dyDescent="0.25">
      <c r="A693" s="12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1:26" ht="15.75" customHeight="1" x14ac:dyDescent="0.25">
      <c r="A694" s="12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1:26" ht="15.75" customHeight="1" x14ac:dyDescent="0.25">
      <c r="A695" s="12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1:26" ht="15.75" customHeight="1" x14ac:dyDescent="0.25">
      <c r="A696" s="12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1:26" ht="15.75" customHeight="1" x14ac:dyDescent="0.25">
      <c r="A697" s="12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1:26" ht="15.75" customHeight="1" x14ac:dyDescent="0.25">
      <c r="A698" s="12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1:26" ht="15.75" customHeight="1" x14ac:dyDescent="0.25">
      <c r="A699" s="12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1:26" ht="15.75" customHeight="1" x14ac:dyDescent="0.25">
      <c r="A700" s="12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1:26" ht="15.75" customHeight="1" x14ac:dyDescent="0.25">
      <c r="A701" s="12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1:26" ht="15.75" customHeight="1" x14ac:dyDescent="0.25">
      <c r="A702" s="12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1:26" ht="15.75" customHeight="1" x14ac:dyDescent="0.25">
      <c r="A703" s="12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1:26" ht="15.75" customHeight="1" x14ac:dyDescent="0.25">
      <c r="A704" s="12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1:26" ht="15.75" customHeight="1" x14ac:dyDescent="0.25">
      <c r="A705" s="12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1:26" ht="15.75" customHeight="1" x14ac:dyDescent="0.25">
      <c r="A706" s="12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1:26" ht="15.75" customHeight="1" x14ac:dyDescent="0.25">
      <c r="A707" s="12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1:26" ht="15.75" customHeight="1" x14ac:dyDescent="0.25">
      <c r="A708" s="12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1:26" ht="15.75" customHeight="1" x14ac:dyDescent="0.25">
      <c r="A709" s="12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1:26" ht="15.75" customHeight="1" x14ac:dyDescent="0.25">
      <c r="A710" s="12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1:26" ht="15.75" customHeight="1" x14ac:dyDescent="0.25">
      <c r="A711" s="12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1:26" ht="15.75" customHeight="1" x14ac:dyDescent="0.25">
      <c r="A712" s="12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1:26" ht="15.75" customHeight="1" x14ac:dyDescent="0.25">
      <c r="A713" s="12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1:26" ht="15.75" customHeight="1" x14ac:dyDescent="0.25">
      <c r="A714" s="12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1:26" ht="15.75" customHeight="1" x14ac:dyDescent="0.25">
      <c r="A715" s="12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1:26" ht="15.75" customHeight="1" x14ac:dyDescent="0.25">
      <c r="A716" s="12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1:26" ht="15.75" customHeight="1" x14ac:dyDescent="0.25">
      <c r="A717" s="12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1:26" ht="15.75" customHeight="1" x14ac:dyDescent="0.25">
      <c r="A718" s="12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1:26" ht="15.75" customHeight="1" x14ac:dyDescent="0.25">
      <c r="A719" s="12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1:26" ht="15.75" customHeight="1" x14ac:dyDescent="0.25">
      <c r="A720" s="12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1:26" ht="15.75" customHeight="1" x14ac:dyDescent="0.25">
      <c r="A721" s="12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1:26" ht="15.75" customHeight="1" x14ac:dyDescent="0.25">
      <c r="A722" s="12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1:26" ht="15.75" customHeight="1" x14ac:dyDescent="0.25">
      <c r="A723" s="12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1:26" ht="15.75" customHeight="1" x14ac:dyDescent="0.25">
      <c r="A724" s="12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1:26" ht="15.75" customHeight="1" x14ac:dyDescent="0.25">
      <c r="A725" s="12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1:26" ht="15.75" customHeight="1" x14ac:dyDescent="0.25">
      <c r="A726" s="12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1:26" ht="15.75" customHeight="1" x14ac:dyDescent="0.25">
      <c r="A727" s="12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1:26" ht="15.75" customHeight="1" x14ac:dyDescent="0.25">
      <c r="A728" s="12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1:26" ht="15.75" customHeight="1" x14ac:dyDescent="0.25">
      <c r="A729" s="12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1:26" ht="15.75" customHeight="1" x14ac:dyDescent="0.25">
      <c r="A730" s="12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1:26" ht="15.75" customHeight="1" x14ac:dyDescent="0.25">
      <c r="A731" s="12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1:26" ht="15.75" customHeight="1" x14ac:dyDescent="0.25">
      <c r="A732" s="12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1:26" ht="15.75" customHeight="1" x14ac:dyDescent="0.25">
      <c r="A733" s="12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1:26" ht="15.75" customHeight="1" x14ac:dyDescent="0.25">
      <c r="A734" s="12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1:26" ht="15.75" customHeight="1" x14ac:dyDescent="0.25">
      <c r="A735" s="12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1:26" ht="15.75" customHeight="1" x14ac:dyDescent="0.25">
      <c r="A736" s="12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1:26" ht="15.75" customHeight="1" x14ac:dyDescent="0.25">
      <c r="A737" s="12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1:26" ht="15.75" customHeight="1" x14ac:dyDescent="0.25">
      <c r="A738" s="12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1:26" ht="15.75" customHeight="1" x14ac:dyDescent="0.25">
      <c r="A739" s="12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1:26" ht="15.75" customHeight="1" x14ac:dyDescent="0.25">
      <c r="A740" s="12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1:26" ht="15.75" customHeight="1" x14ac:dyDescent="0.25">
      <c r="A741" s="12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1:26" ht="15.75" customHeight="1" x14ac:dyDescent="0.25">
      <c r="A742" s="12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1:26" ht="15.75" customHeight="1" x14ac:dyDescent="0.25">
      <c r="A743" s="12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1:26" ht="15.75" customHeight="1" x14ac:dyDescent="0.25">
      <c r="A744" s="12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1:26" ht="15.75" customHeight="1" x14ac:dyDescent="0.25">
      <c r="A745" s="12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1:26" ht="15.75" customHeight="1" x14ac:dyDescent="0.25">
      <c r="A746" s="12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1:26" ht="15.75" customHeight="1" x14ac:dyDescent="0.25">
      <c r="A747" s="12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1:26" ht="15.75" customHeight="1" x14ac:dyDescent="0.25">
      <c r="A748" s="12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1:26" ht="15.75" customHeight="1" x14ac:dyDescent="0.25">
      <c r="A749" s="12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1:26" ht="15.75" customHeight="1" x14ac:dyDescent="0.25">
      <c r="A750" s="12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1:26" ht="15.75" customHeight="1" x14ac:dyDescent="0.25">
      <c r="A751" s="12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1:26" ht="15.75" customHeight="1" x14ac:dyDescent="0.25">
      <c r="A752" s="12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1:26" ht="15.75" customHeight="1" x14ac:dyDescent="0.25">
      <c r="A753" s="12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1:26" ht="15.75" customHeight="1" x14ac:dyDescent="0.25">
      <c r="A754" s="12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1:26" ht="15.75" customHeight="1" x14ac:dyDescent="0.25">
      <c r="A755" s="12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1:26" ht="15.75" customHeight="1" x14ac:dyDescent="0.25">
      <c r="A756" s="12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1:26" ht="15.75" customHeight="1" x14ac:dyDescent="0.25">
      <c r="A757" s="12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1:26" ht="15.75" customHeight="1" x14ac:dyDescent="0.25">
      <c r="A758" s="12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1:26" ht="15.75" customHeight="1" x14ac:dyDescent="0.25">
      <c r="A759" s="12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1:26" ht="15.75" customHeight="1" x14ac:dyDescent="0.25">
      <c r="A760" s="12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1:26" ht="15.75" customHeight="1" x14ac:dyDescent="0.25">
      <c r="A761" s="12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1:26" ht="15.75" customHeight="1" x14ac:dyDescent="0.25">
      <c r="A762" s="12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1:26" ht="15.75" customHeight="1" x14ac:dyDescent="0.25">
      <c r="A763" s="12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1:26" ht="15.75" customHeight="1" x14ac:dyDescent="0.25">
      <c r="A764" s="12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1:26" ht="15.75" customHeight="1" x14ac:dyDescent="0.25">
      <c r="A765" s="12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1:26" ht="15.75" customHeight="1" x14ac:dyDescent="0.25">
      <c r="A766" s="12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1:26" ht="15.75" customHeight="1" x14ac:dyDescent="0.25">
      <c r="A767" s="12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1:26" ht="15.75" customHeight="1" x14ac:dyDescent="0.25">
      <c r="A768" s="12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1:26" ht="15.75" customHeight="1" x14ac:dyDescent="0.25">
      <c r="A769" s="12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1:26" ht="15.75" customHeight="1" x14ac:dyDescent="0.25">
      <c r="A770" s="12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1:26" ht="15.75" customHeight="1" x14ac:dyDescent="0.25">
      <c r="A771" s="12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1:26" ht="15.75" customHeight="1" x14ac:dyDescent="0.25">
      <c r="A772" s="12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1:26" ht="15.75" customHeight="1" x14ac:dyDescent="0.25">
      <c r="A773" s="12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1:26" ht="15.75" customHeight="1" x14ac:dyDescent="0.25">
      <c r="A774" s="12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1:26" ht="15.75" customHeight="1" x14ac:dyDescent="0.25">
      <c r="A775" s="12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1:26" ht="15.75" customHeight="1" x14ac:dyDescent="0.25">
      <c r="A776" s="12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1:26" ht="15.75" customHeight="1" x14ac:dyDescent="0.25">
      <c r="A777" s="12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1:26" ht="15.75" customHeight="1" x14ac:dyDescent="0.25">
      <c r="A778" s="12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1:26" ht="15.75" customHeight="1" x14ac:dyDescent="0.25">
      <c r="A779" s="12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1:26" ht="15.75" customHeight="1" x14ac:dyDescent="0.25">
      <c r="A780" s="12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1:26" ht="15.75" customHeight="1" x14ac:dyDescent="0.25">
      <c r="A781" s="12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1:26" ht="15.75" customHeight="1" x14ac:dyDescent="0.25">
      <c r="A782" s="1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1:26" ht="15.75" customHeight="1" x14ac:dyDescent="0.25">
      <c r="A783" s="12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1:26" ht="15.75" customHeight="1" x14ac:dyDescent="0.25">
      <c r="A784" s="12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1:26" ht="15.75" customHeight="1" x14ac:dyDescent="0.25">
      <c r="A785" s="12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1:26" ht="15.75" customHeight="1" x14ac:dyDescent="0.25">
      <c r="A786" s="12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1:26" ht="15.75" customHeight="1" x14ac:dyDescent="0.25">
      <c r="A787" s="12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1:26" ht="15.75" customHeight="1" x14ac:dyDescent="0.25">
      <c r="A788" s="12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1:26" ht="15.75" customHeight="1" x14ac:dyDescent="0.25">
      <c r="A789" s="12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1:26" ht="15.75" customHeight="1" x14ac:dyDescent="0.25">
      <c r="A790" s="12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1:26" ht="15.75" customHeight="1" x14ac:dyDescent="0.25">
      <c r="A791" s="12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1:26" ht="15.75" customHeight="1" x14ac:dyDescent="0.25">
      <c r="A792" s="12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ht="15.75" customHeight="1" x14ac:dyDescent="0.25">
      <c r="A793" s="12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ht="15.75" customHeight="1" x14ac:dyDescent="0.25">
      <c r="A794" s="12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ht="15.75" customHeight="1" x14ac:dyDescent="0.25">
      <c r="A795" s="12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ht="15.75" customHeight="1" x14ac:dyDescent="0.25">
      <c r="A796" s="12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ht="15.75" customHeight="1" x14ac:dyDescent="0.25">
      <c r="A797" s="12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ht="15.75" customHeight="1" x14ac:dyDescent="0.25">
      <c r="A798" s="12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ht="15.75" customHeight="1" x14ac:dyDescent="0.25">
      <c r="A799" s="12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ht="15.75" customHeight="1" x14ac:dyDescent="0.25">
      <c r="A800" s="12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ht="15.75" customHeight="1" x14ac:dyDescent="0.25">
      <c r="A801" s="12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ht="15.75" customHeight="1" x14ac:dyDescent="0.25">
      <c r="A802" s="12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ht="15.75" customHeight="1" x14ac:dyDescent="0.25">
      <c r="A803" s="12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ht="15.75" customHeight="1" x14ac:dyDescent="0.25">
      <c r="A804" s="12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ht="15.75" customHeight="1" x14ac:dyDescent="0.25">
      <c r="A805" s="12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ht="15.75" customHeight="1" x14ac:dyDescent="0.25">
      <c r="A806" s="12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ht="15.75" customHeight="1" x14ac:dyDescent="0.25">
      <c r="A807" s="12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ht="15.75" customHeight="1" x14ac:dyDescent="0.25">
      <c r="A808" s="12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ht="15.75" customHeight="1" x14ac:dyDescent="0.25">
      <c r="A809" s="12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ht="15.75" customHeight="1" x14ac:dyDescent="0.25">
      <c r="A810" s="12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ht="15.75" customHeight="1" x14ac:dyDescent="0.25">
      <c r="A811" s="12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ht="15.75" customHeight="1" x14ac:dyDescent="0.25">
      <c r="A812" s="12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ht="15.75" customHeight="1" x14ac:dyDescent="0.25">
      <c r="A813" s="12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ht="15.75" customHeight="1" x14ac:dyDescent="0.25">
      <c r="A814" s="12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ht="15.75" customHeight="1" x14ac:dyDescent="0.25">
      <c r="A815" s="12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ht="15.75" customHeight="1" x14ac:dyDescent="0.25">
      <c r="A816" s="12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ht="15.75" customHeight="1" x14ac:dyDescent="0.25">
      <c r="A817" s="12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ht="15.75" customHeight="1" x14ac:dyDescent="0.25">
      <c r="A818" s="12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ht="15.75" customHeight="1" x14ac:dyDescent="0.25">
      <c r="A819" s="12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ht="15.75" customHeight="1" x14ac:dyDescent="0.25">
      <c r="A820" s="12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ht="15.75" customHeight="1" x14ac:dyDescent="0.25">
      <c r="A821" s="12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ht="15.75" customHeight="1" x14ac:dyDescent="0.25">
      <c r="A822" s="12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ht="15.75" customHeight="1" x14ac:dyDescent="0.25">
      <c r="A823" s="12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ht="15.75" customHeight="1" x14ac:dyDescent="0.25">
      <c r="A824" s="12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ht="15.75" customHeight="1" x14ac:dyDescent="0.25">
      <c r="A825" s="12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ht="15.75" customHeight="1" x14ac:dyDescent="0.25">
      <c r="A826" s="12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ht="15.75" customHeight="1" x14ac:dyDescent="0.25">
      <c r="A827" s="12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ht="15.75" customHeight="1" x14ac:dyDescent="0.25">
      <c r="A828" s="12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ht="15.75" customHeight="1" x14ac:dyDescent="0.25">
      <c r="A829" s="12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ht="15.75" customHeight="1" x14ac:dyDescent="0.25">
      <c r="A830" s="12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ht="15.75" customHeight="1" x14ac:dyDescent="0.25">
      <c r="A831" s="12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ht="15.75" customHeight="1" x14ac:dyDescent="0.25">
      <c r="A832" s="1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ht="15.75" customHeight="1" x14ac:dyDescent="0.25">
      <c r="A833" s="12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ht="15.75" customHeight="1" x14ac:dyDescent="0.25">
      <c r="A834" s="12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ht="15.75" customHeight="1" x14ac:dyDescent="0.25">
      <c r="A835" s="12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ht="15.75" customHeight="1" x14ac:dyDescent="0.25">
      <c r="A836" s="12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ht="15.75" customHeight="1" x14ac:dyDescent="0.25">
      <c r="A837" s="12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ht="15.75" customHeight="1" x14ac:dyDescent="0.25">
      <c r="A838" s="12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ht="15.75" customHeight="1" x14ac:dyDescent="0.25">
      <c r="A839" s="12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ht="15.75" customHeight="1" x14ac:dyDescent="0.25">
      <c r="A840" s="12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ht="15.75" customHeight="1" x14ac:dyDescent="0.25">
      <c r="A841" s="12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ht="15.75" customHeight="1" x14ac:dyDescent="0.25">
      <c r="A842" s="12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ht="15.75" customHeight="1" x14ac:dyDescent="0.25">
      <c r="A843" s="12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ht="15.75" customHeight="1" x14ac:dyDescent="0.25">
      <c r="A844" s="12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ht="15.75" customHeight="1" x14ac:dyDescent="0.25">
      <c r="A845" s="12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ht="15.75" customHeight="1" x14ac:dyDescent="0.25">
      <c r="A846" s="12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ht="15.75" customHeight="1" x14ac:dyDescent="0.25">
      <c r="A847" s="12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ht="15.75" customHeight="1" x14ac:dyDescent="0.25">
      <c r="A848" s="12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ht="15.75" customHeight="1" x14ac:dyDescent="0.25">
      <c r="A849" s="12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ht="15.75" customHeight="1" x14ac:dyDescent="0.25">
      <c r="A850" s="12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ht="15.75" customHeight="1" x14ac:dyDescent="0.25">
      <c r="A851" s="12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ht="15.75" customHeight="1" x14ac:dyDescent="0.25">
      <c r="A852" s="12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ht="15.75" customHeight="1" x14ac:dyDescent="0.25">
      <c r="A853" s="12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ht="15.75" customHeight="1" x14ac:dyDescent="0.25">
      <c r="A854" s="12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ht="15.75" customHeight="1" x14ac:dyDescent="0.25">
      <c r="A855" s="12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ht="15.75" customHeight="1" x14ac:dyDescent="0.25">
      <c r="A856" s="12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ht="15.75" customHeight="1" x14ac:dyDescent="0.25">
      <c r="A857" s="12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ht="15.75" customHeight="1" x14ac:dyDescent="0.25">
      <c r="A858" s="12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ht="15.75" customHeight="1" x14ac:dyDescent="0.25">
      <c r="A859" s="12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ht="15.75" customHeight="1" x14ac:dyDescent="0.25">
      <c r="A860" s="12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ht="15.75" customHeight="1" x14ac:dyDescent="0.25">
      <c r="A861" s="12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ht="15.75" customHeight="1" x14ac:dyDescent="0.25">
      <c r="A862" s="12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ht="15.75" customHeight="1" x14ac:dyDescent="0.25">
      <c r="A863" s="12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ht="15.75" customHeight="1" x14ac:dyDescent="0.25">
      <c r="A864" s="12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ht="15.75" customHeight="1" x14ac:dyDescent="0.25">
      <c r="A865" s="12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ht="15.75" customHeight="1" x14ac:dyDescent="0.25">
      <c r="A866" s="12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ht="15.75" customHeight="1" x14ac:dyDescent="0.25">
      <c r="A867" s="12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ht="15.75" customHeight="1" x14ac:dyDescent="0.25">
      <c r="A868" s="12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ht="15.75" customHeight="1" x14ac:dyDescent="0.25">
      <c r="A869" s="12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ht="15.75" customHeight="1" x14ac:dyDescent="0.25">
      <c r="A870" s="12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ht="15.75" customHeight="1" x14ac:dyDescent="0.25">
      <c r="A871" s="12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ht="15.75" customHeight="1" x14ac:dyDescent="0.25">
      <c r="A872" s="1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ht="15.75" customHeight="1" x14ac:dyDescent="0.25">
      <c r="A873" s="12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ht="15.75" customHeight="1" x14ac:dyDescent="0.25">
      <c r="A874" s="12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ht="15.75" customHeight="1" x14ac:dyDescent="0.25">
      <c r="A875" s="12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ht="15.75" customHeight="1" x14ac:dyDescent="0.25">
      <c r="A876" s="12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ht="15.75" customHeight="1" x14ac:dyDescent="0.25">
      <c r="A877" s="12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ht="15.75" customHeight="1" x14ac:dyDescent="0.25">
      <c r="A878" s="12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ht="15.75" customHeight="1" x14ac:dyDescent="0.25">
      <c r="A879" s="12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ht="15.75" customHeight="1" x14ac:dyDescent="0.25">
      <c r="A880" s="12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ht="15.75" customHeight="1" x14ac:dyDescent="0.25">
      <c r="A881" s="12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ht="15.75" customHeight="1" x14ac:dyDescent="0.25">
      <c r="A882" s="12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ht="15.75" customHeight="1" x14ac:dyDescent="0.25">
      <c r="A883" s="12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ht="15.75" customHeight="1" x14ac:dyDescent="0.25">
      <c r="A884" s="12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ht="15.75" customHeight="1" x14ac:dyDescent="0.25">
      <c r="A885" s="12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ht="15.75" customHeight="1" x14ac:dyDescent="0.25">
      <c r="A886" s="12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ht="15.75" customHeight="1" x14ac:dyDescent="0.25">
      <c r="A887" s="12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ht="15.75" customHeight="1" x14ac:dyDescent="0.25">
      <c r="A888" s="12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ht="15.75" customHeight="1" x14ac:dyDescent="0.25">
      <c r="A889" s="12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ht="15.75" customHeight="1" x14ac:dyDescent="0.25">
      <c r="A890" s="12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ht="15.75" customHeight="1" x14ac:dyDescent="0.25">
      <c r="A891" s="12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ht="15.75" customHeight="1" x14ac:dyDescent="0.25">
      <c r="A892" s="1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ht="15.75" customHeight="1" x14ac:dyDescent="0.25">
      <c r="A893" s="12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ht="15.75" customHeight="1" x14ac:dyDescent="0.25">
      <c r="A894" s="12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ht="15.75" customHeight="1" x14ac:dyDescent="0.25">
      <c r="A895" s="12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ht="15.75" customHeight="1" x14ac:dyDescent="0.25">
      <c r="A896" s="12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ht="15.75" customHeight="1" x14ac:dyDescent="0.25">
      <c r="A897" s="12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ht="15.75" customHeight="1" x14ac:dyDescent="0.25">
      <c r="A898" s="12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ht="15.75" customHeight="1" x14ac:dyDescent="0.25">
      <c r="A899" s="12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ht="15.75" customHeight="1" x14ac:dyDescent="0.25">
      <c r="A900" s="12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ht="15.75" customHeight="1" x14ac:dyDescent="0.25">
      <c r="A901" s="12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ht="15.75" customHeight="1" x14ac:dyDescent="0.25">
      <c r="A902" s="12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ht="15.75" customHeight="1" x14ac:dyDescent="0.25">
      <c r="A903" s="12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ht="15.75" customHeight="1" x14ac:dyDescent="0.25">
      <c r="A904" s="12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ht="15.75" customHeight="1" x14ac:dyDescent="0.25">
      <c r="A905" s="12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ht="15.75" customHeight="1" x14ac:dyDescent="0.25">
      <c r="A906" s="12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ht="15.75" customHeight="1" x14ac:dyDescent="0.25">
      <c r="A907" s="12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ht="15.75" customHeight="1" x14ac:dyDescent="0.25">
      <c r="A908" s="12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ht="15.75" customHeight="1" x14ac:dyDescent="0.25">
      <c r="A909" s="12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ht="15.75" customHeight="1" x14ac:dyDescent="0.25">
      <c r="A910" s="12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ht="15.75" customHeight="1" x14ac:dyDescent="0.25">
      <c r="A911" s="12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ht="15.75" customHeight="1" x14ac:dyDescent="0.25">
      <c r="A912" s="12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ht="15.75" customHeight="1" x14ac:dyDescent="0.25">
      <c r="A913" s="12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ht="15.75" customHeight="1" x14ac:dyDescent="0.25">
      <c r="A914" s="12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ht="15.75" customHeight="1" x14ac:dyDescent="0.25">
      <c r="A915" s="12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ht="15.75" customHeight="1" x14ac:dyDescent="0.25">
      <c r="A916" s="12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ht="15.75" customHeight="1" x14ac:dyDescent="0.25">
      <c r="A917" s="12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ht="15.75" customHeight="1" x14ac:dyDescent="0.25">
      <c r="A918" s="12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ht="15.75" customHeight="1" x14ac:dyDescent="0.25">
      <c r="A919" s="12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ht="15.75" customHeight="1" x14ac:dyDescent="0.25">
      <c r="A920" s="12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ht="15.75" customHeight="1" x14ac:dyDescent="0.25">
      <c r="A921" s="12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ht="15.75" customHeight="1" x14ac:dyDescent="0.25">
      <c r="A922" s="1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ht="15.75" customHeight="1" x14ac:dyDescent="0.25">
      <c r="A923" s="12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ht="15.75" customHeight="1" x14ac:dyDescent="0.25">
      <c r="A924" s="12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ht="15.75" customHeight="1" x14ac:dyDescent="0.25">
      <c r="A925" s="12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ht="15.75" customHeight="1" x14ac:dyDescent="0.25">
      <c r="A926" s="12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ht="15.75" customHeight="1" x14ac:dyDescent="0.25">
      <c r="A927" s="12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ht="15.75" customHeight="1" x14ac:dyDescent="0.25">
      <c r="A928" s="12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ht="15.75" customHeight="1" x14ac:dyDescent="0.25">
      <c r="A929" s="12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ht="15.75" customHeight="1" x14ac:dyDescent="0.25">
      <c r="A930" s="12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ht="15.75" customHeight="1" x14ac:dyDescent="0.25">
      <c r="A931" s="12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ht="15.75" customHeight="1" x14ac:dyDescent="0.25">
      <c r="A932" s="12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ht="15.75" customHeight="1" x14ac:dyDescent="0.25">
      <c r="A933" s="12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ht="15.75" customHeight="1" x14ac:dyDescent="0.25">
      <c r="A934" s="12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ht="15.75" customHeight="1" x14ac:dyDescent="0.25">
      <c r="A935" s="12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ht="15.75" customHeight="1" x14ac:dyDescent="0.25">
      <c r="A936" s="12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ht="15.75" customHeight="1" x14ac:dyDescent="0.25">
      <c r="A937" s="12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ht="15.75" customHeight="1" x14ac:dyDescent="0.25">
      <c r="A938" s="12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ht="15.75" customHeight="1" x14ac:dyDescent="0.25">
      <c r="A939" s="12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ht="15.75" customHeight="1" x14ac:dyDescent="0.25">
      <c r="A940" s="12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ht="15.75" customHeight="1" x14ac:dyDescent="0.25">
      <c r="A941" s="12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ht="15.75" customHeight="1" x14ac:dyDescent="0.25">
      <c r="A942" s="12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ht="15.75" customHeight="1" x14ac:dyDescent="0.25">
      <c r="A943" s="12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ht="15.75" customHeight="1" x14ac:dyDescent="0.25">
      <c r="A944" s="12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ht="15.75" customHeight="1" x14ac:dyDescent="0.25">
      <c r="A945" s="12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ht="15.75" customHeight="1" x14ac:dyDescent="0.25">
      <c r="A946" s="12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ht="15.75" customHeight="1" x14ac:dyDescent="0.25">
      <c r="A947" s="12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ht="15.75" customHeight="1" x14ac:dyDescent="0.25">
      <c r="A948" s="12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ht="15.75" customHeight="1" x14ac:dyDescent="0.25">
      <c r="A949" s="12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ht="15.75" customHeight="1" x14ac:dyDescent="0.25">
      <c r="A950" s="12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ht="15.75" customHeight="1" x14ac:dyDescent="0.25">
      <c r="A951" s="12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ht="15.75" customHeight="1" x14ac:dyDescent="0.25">
      <c r="A952" s="12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ht="15.75" customHeight="1" x14ac:dyDescent="0.25">
      <c r="A953" s="12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ht="15.75" customHeight="1" x14ac:dyDescent="0.25">
      <c r="A954" s="12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ht="15.75" customHeight="1" x14ac:dyDescent="0.25">
      <c r="A955" s="12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ht="15.75" customHeight="1" x14ac:dyDescent="0.25">
      <c r="A956" s="12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ht="15.75" customHeight="1" x14ac:dyDescent="0.25">
      <c r="A957" s="12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ht="15.75" customHeight="1" x14ac:dyDescent="0.25">
      <c r="A958" s="12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ht="15.75" customHeight="1" x14ac:dyDescent="0.25">
      <c r="A959" s="12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ht="15.75" customHeight="1" x14ac:dyDescent="0.25">
      <c r="A960" s="12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ht="15.75" customHeight="1" x14ac:dyDescent="0.25">
      <c r="A961" s="12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ht="15.75" customHeight="1" x14ac:dyDescent="0.25">
      <c r="A962" s="12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ht="15.75" customHeight="1" x14ac:dyDescent="0.25">
      <c r="A963" s="12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ht="15.75" customHeight="1" x14ac:dyDescent="0.25">
      <c r="A964" s="12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ht="15.75" customHeight="1" x14ac:dyDescent="0.25">
      <c r="A965" s="12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ht="15.75" customHeight="1" x14ac:dyDescent="0.25">
      <c r="A966" s="12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ht="15.75" customHeight="1" x14ac:dyDescent="0.25">
      <c r="A967" s="12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ht="15.75" customHeight="1" x14ac:dyDescent="0.25">
      <c r="A968" s="12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ht="15.75" customHeight="1" x14ac:dyDescent="0.25">
      <c r="A969" s="12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ht="15.75" customHeight="1" x14ac:dyDescent="0.25">
      <c r="A970" s="12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ht="15.75" customHeight="1" x14ac:dyDescent="0.25">
      <c r="A971" s="12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ht="15.75" customHeight="1" x14ac:dyDescent="0.25">
      <c r="A972" s="12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ht="15.75" customHeight="1" x14ac:dyDescent="0.25">
      <c r="A973" s="12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ht="15.75" customHeight="1" x14ac:dyDescent="0.25">
      <c r="A974" s="12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ht="15.75" customHeight="1" x14ac:dyDescent="0.25">
      <c r="A975" s="12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ht="15.75" customHeight="1" x14ac:dyDescent="0.25">
      <c r="A976" s="12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ht="15.75" customHeight="1" x14ac:dyDescent="0.25">
      <c r="A977" s="12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ht="15.75" customHeight="1" x14ac:dyDescent="0.25">
      <c r="A978" s="12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ht="15.75" customHeight="1" x14ac:dyDescent="0.25">
      <c r="A979" s="12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ht="15.75" customHeight="1" x14ac:dyDescent="0.25">
      <c r="A980" s="12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ht="15.75" customHeight="1" x14ac:dyDescent="0.25">
      <c r="A981" s="12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ht="15.75" customHeight="1" x14ac:dyDescent="0.25">
      <c r="A982" s="12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ht="15.75" customHeight="1" x14ac:dyDescent="0.25">
      <c r="A983" s="12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ht="15.75" customHeight="1" x14ac:dyDescent="0.25">
      <c r="A984" s="12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ht="15.75" customHeight="1" x14ac:dyDescent="0.25">
      <c r="A985" s="12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ht="15.75" customHeight="1" x14ac:dyDescent="0.25">
      <c r="A986" s="12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ht="15.75" customHeight="1" x14ac:dyDescent="0.25">
      <c r="A987" s="12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ht="15.75" customHeight="1" x14ac:dyDescent="0.25">
      <c r="A988" s="12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ht="15.75" customHeight="1" x14ac:dyDescent="0.25">
      <c r="A989" s="12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ht="15.75" customHeight="1" x14ac:dyDescent="0.25">
      <c r="A990" s="12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ht="15.75" customHeight="1" x14ac:dyDescent="0.25">
      <c r="A991" s="12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ht="15.75" customHeight="1" x14ac:dyDescent="0.25">
      <c r="A992" s="12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ht="15.75" customHeight="1" x14ac:dyDescent="0.25">
      <c r="A993" s="12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ht="15" customHeight="1" x14ac:dyDescent="0.25"/>
    <row r="995" spans="1:26" ht="1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 teste carros</vt:lpstr>
      <vt:lpstr>Receita</vt:lpstr>
      <vt:lpstr>Despesa</vt:lpstr>
      <vt:lpstr>Lucro</vt:lpstr>
      <vt:lpstr>Investimentos</vt:lpstr>
      <vt:lpstr>Multas</vt:lpstr>
      <vt:lpstr>Quem Pagou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Maique Adrian</cp:lastModifiedBy>
  <dcterms:created xsi:type="dcterms:W3CDTF">2026-02-06T14:39:27Z</dcterms:created>
  <dcterms:modified xsi:type="dcterms:W3CDTF">2026-03-27T21:16:04Z</dcterms:modified>
</cp:coreProperties>
</file>